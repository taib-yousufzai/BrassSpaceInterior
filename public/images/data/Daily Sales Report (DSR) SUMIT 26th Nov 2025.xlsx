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21s\Downloads\data\"/>
    </mc:Choice>
  </mc:AlternateContent>
  <xr:revisionPtr revIDLastSave="0" documentId="13_ncr:1_{929BACD0-9525-4B7A-B254-1BEFE4150922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KPI" sheetId="10" r:id="rId1"/>
    <sheet name="Monthly Performance" sheetId="9" r:id="rId2"/>
    <sheet name="Weekly Performance" sheetId="8" r:id="rId3"/>
    <sheet name="Real Prospect" sheetId="3" r:id="rId4"/>
    <sheet name="DSR" sheetId="1" r:id="rId5"/>
  </sheets>
  <definedNames>
    <definedName name="_xlnm._FilterDatabase" localSheetId="4" hidden="1">DSR!$A$1:$XFA$265</definedName>
    <definedName name="_xlnm._FilterDatabase" localSheetId="3" hidden="1">'Real Prospect'!$A$1:$W$28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3" l="1"/>
  <c r="K15" i="3"/>
  <c r="O15" i="3" s="1"/>
  <c r="K16" i="3"/>
  <c r="O16" i="3" s="1"/>
  <c r="K17" i="3"/>
  <c r="O17" i="3" s="1"/>
  <c r="K18" i="3"/>
  <c r="O18" i="3" s="1"/>
  <c r="K19" i="3"/>
  <c r="O19" i="3" s="1"/>
  <c r="K20" i="3"/>
  <c r="O20" i="3" s="1"/>
  <c r="K21" i="3"/>
  <c r="O21" i="3" s="1"/>
  <c r="K22" i="3"/>
  <c r="O22" i="3" s="1"/>
  <c r="K23" i="3"/>
  <c r="O23" i="3" s="1"/>
  <c r="K12" i="3"/>
  <c r="O12" i="3" s="1"/>
  <c r="K13" i="3"/>
  <c r="O13" i="3" s="1"/>
  <c r="K14" i="3"/>
  <c r="O14" i="3" s="1"/>
  <c r="K10" i="3"/>
  <c r="K11" i="3"/>
  <c r="O11" i="3" s="1"/>
  <c r="N28" i="3"/>
  <c r="K9" i="3"/>
  <c r="O9" i="3" s="1"/>
  <c r="K7" i="3"/>
  <c r="O7" i="3" s="1"/>
  <c r="K6" i="3"/>
  <c r="O6" i="3" s="1"/>
  <c r="K8" i="3"/>
  <c r="O8" i="3" s="1"/>
  <c r="K5" i="3"/>
  <c r="O5" i="3" s="1"/>
  <c r="K4" i="3"/>
  <c r="O4" i="3" s="1"/>
  <c r="K3" i="3"/>
  <c r="O3" i="3" s="1"/>
  <c r="K2" i="3"/>
  <c r="O2" i="3" s="1"/>
  <c r="F3" i="10"/>
  <c r="D5" i="10"/>
  <c r="F5" i="10" s="1"/>
  <c r="D4" i="10"/>
  <c r="F4" i="10" s="1"/>
  <c r="K28" i="3" l="1"/>
  <c r="O10" i="3"/>
  <c r="O28" i="3" s="1"/>
  <c r="E2" i="9"/>
  <c r="F2" i="9" s="1"/>
  <c r="G20" i="9"/>
  <c r="D20" i="9"/>
  <c r="C20" i="9"/>
  <c r="F20" i="9" l="1"/>
  <c r="E20" i="9"/>
  <c r="D8" i="8" l="1"/>
  <c r="F8" i="8" s="1"/>
  <c r="F7" i="8"/>
  <c r="E6" i="8"/>
  <c r="D6" i="8"/>
  <c r="F5" i="8"/>
  <c r="F4" i="8"/>
  <c r="F3" i="8"/>
  <c r="D2" i="8"/>
  <c r="F2" i="8" s="1"/>
  <c r="F6" i="8" l="1"/>
</calcChain>
</file>

<file path=xl/sharedStrings.xml><?xml version="1.0" encoding="utf-8"?>
<sst xmlns="http://schemas.openxmlformats.org/spreadsheetml/2006/main" count="789" uniqueCount="280">
  <si>
    <t>S.No.</t>
  </si>
  <si>
    <t>Meeting Date</t>
  </si>
  <si>
    <t>Mob no</t>
  </si>
  <si>
    <t>Customer Name</t>
  </si>
  <si>
    <t>Current Status</t>
  </si>
  <si>
    <t>Tentative Closure Date</t>
  </si>
  <si>
    <t>Anticipated Project Value</t>
  </si>
  <si>
    <t>Priority</t>
  </si>
  <si>
    <t>Bucket</t>
  </si>
  <si>
    <t>Responsible Person</t>
  </si>
  <si>
    <t>P1</t>
  </si>
  <si>
    <t>Full Home Interior</t>
  </si>
  <si>
    <t>City</t>
  </si>
  <si>
    <t>Location</t>
  </si>
  <si>
    <t>Lead Type (Online/Source Name)</t>
  </si>
  <si>
    <t>Next Folloup Date</t>
  </si>
  <si>
    <t>Next Follow up Action</t>
  </si>
  <si>
    <t>No. of Times Visit Done with Client</t>
  </si>
  <si>
    <t>Date</t>
  </si>
  <si>
    <t>Mobile No.</t>
  </si>
  <si>
    <t>Sr.No.</t>
  </si>
  <si>
    <t>Meeting Count</t>
  </si>
  <si>
    <t>Final Status (Pending/Closed)</t>
  </si>
  <si>
    <t>Total</t>
  </si>
  <si>
    <t>dead</t>
  </si>
  <si>
    <t>p3</t>
  </si>
  <si>
    <t>Prospect Finalised</t>
  </si>
  <si>
    <t>Reason For Dead</t>
  </si>
  <si>
    <t>Rustam</t>
  </si>
  <si>
    <t>Noida</t>
  </si>
  <si>
    <t>Delhi</t>
  </si>
  <si>
    <t>Ghaziabad</t>
  </si>
  <si>
    <t>Sahadra</t>
  </si>
  <si>
    <t>Business Location</t>
  </si>
  <si>
    <t>Project Type</t>
  </si>
  <si>
    <t>Current Priority</t>
  </si>
  <si>
    <t>Total Sqft Wooden Work</t>
  </si>
  <si>
    <t>Total Project Value</t>
  </si>
  <si>
    <t>Expected Closer Value</t>
  </si>
  <si>
    <t>Average Per Sqft Wooden Work</t>
  </si>
  <si>
    <t>Payment Received</t>
  </si>
  <si>
    <t>Pending Payment</t>
  </si>
  <si>
    <t>Quotation Send(Yes/No)</t>
  </si>
  <si>
    <t>Office Visit Done(Yes/No)</t>
  </si>
  <si>
    <t>% Of Closer</t>
  </si>
  <si>
    <t>RA Followup (Yes/No)</t>
  </si>
  <si>
    <t>Supporting Action Required</t>
  </si>
  <si>
    <t>Next Payment Date</t>
  </si>
  <si>
    <t>Next Payment Amount</t>
  </si>
  <si>
    <t>cold</t>
  </si>
  <si>
    <t>faridabad</t>
  </si>
  <si>
    <t>Head</t>
  </si>
  <si>
    <t>Indicators</t>
  </si>
  <si>
    <t>Target</t>
  </si>
  <si>
    <t>Achieved</t>
  </si>
  <si>
    <t>Difference</t>
  </si>
  <si>
    <t>Status</t>
  </si>
  <si>
    <t>Past</t>
  </si>
  <si>
    <t>No. of Meetings Last Week</t>
  </si>
  <si>
    <t>Pass</t>
  </si>
  <si>
    <t>Cash Collected</t>
  </si>
  <si>
    <t>Deal Closed</t>
  </si>
  <si>
    <t>Total No. of Real Prospect</t>
  </si>
  <si>
    <t>Fail</t>
  </si>
  <si>
    <t>Total Amount of Real Prospect</t>
  </si>
  <si>
    <t>Design Pending</t>
  </si>
  <si>
    <t>Office Visit</t>
  </si>
  <si>
    <t>% of Closer</t>
  </si>
  <si>
    <t>% of Dead</t>
  </si>
  <si>
    <t>Future</t>
  </si>
  <si>
    <t>Expected Collection This Week</t>
  </si>
  <si>
    <t>Expected Deal Closer Count</t>
  </si>
  <si>
    <t>Expected Office Visit This Week</t>
  </si>
  <si>
    <t xml:space="preserve">Sr.No. </t>
  </si>
  <si>
    <t>Rustom  Daily Sucessful Targeted Meeting</t>
  </si>
  <si>
    <t>Rustom Daily Actual Meeting Count</t>
  </si>
  <si>
    <t>Shortfall/Surplus</t>
  </si>
  <si>
    <t>ManPower Wastage</t>
  </si>
  <si>
    <t>Rustom Prospect/Real Prospect Count</t>
  </si>
  <si>
    <t>Rustom</t>
  </si>
  <si>
    <t>Greater Noida</t>
  </si>
  <si>
    <t>BDM</t>
  </si>
  <si>
    <t>KPI</t>
  </si>
  <si>
    <t>Weekly</t>
  </si>
  <si>
    <t>Monthly</t>
  </si>
  <si>
    <t>KPI 1</t>
  </si>
  <si>
    <t>Sucessful Field Meeting Count</t>
  </si>
  <si>
    <t>KPI 2</t>
  </si>
  <si>
    <t>Weekly/Monthly Target</t>
  </si>
  <si>
    <t>KPI 3</t>
  </si>
  <si>
    <t>Successful Customer  Office Visit Count</t>
  </si>
  <si>
    <t>KPI 4</t>
  </si>
  <si>
    <t>Monthly Collection/Proper Funnel</t>
  </si>
  <si>
    <t>500000/10000000</t>
  </si>
  <si>
    <t>2000000/10000000</t>
  </si>
  <si>
    <t>KPI 5</t>
  </si>
  <si>
    <t>Timly Tracker Update/Review</t>
  </si>
  <si>
    <t>online</t>
  </si>
  <si>
    <t>Satyendra Kumar Srivastava</t>
  </si>
  <si>
    <t>sector 2 greter noida</t>
  </si>
  <si>
    <t>Kuldeep Pardhan</t>
  </si>
  <si>
    <t>Village Naipura Loni Ghaziabad UP</t>
  </si>
  <si>
    <t>Dharam Vir</t>
  </si>
  <si>
    <t>Hari nagar delhi</t>
  </si>
  <si>
    <t>arvind pandey</t>
  </si>
  <si>
    <t>Anand ashray Society Sector P3 Greater Noida</t>
  </si>
  <si>
    <t>Ashutosh</t>
  </si>
  <si>
    <t>centurian park noida extension</t>
  </si>
  <si>
    <t>Pravesh Kumar Rajput</t>
  </si>
  <si>
    <t>AJAY PANCHAL</t>
  </si>
  <si>
    <t>Ajay Pratap Singh</t>
  </si>
  <si>
    <t>noida-74 Supertech Capetown</t>
  </si>
  <si>
    <t xml:space="preserve"> Manoj kumar Saunak</t>
  </si>
  <si>
    <t>Raj nagar ext. migsun atharva 14 nov</t>
  </si>
  <si>
    <t>Surender Adhana</t>
  </si>
  <si>
    <t>Sudhakar</t>
  </si>
  <si>
    <t>sec 88</t>
  </si>
  <si>
    <t>Durgesh Tiwari</t>
  </si>
  <si>
    <t>93138 12146</t>
  </si>
  <si>
    <t>Jhamman Lal Sharma</t>
  </si>
  <si>
    <t xml:space="preserve">Shahpur Kalan, Ballabgarh </t>
  </si>
  <si>
    <t>Delta 2</t>
  </si>
  <si>
    <t xml:space="preserve">Prospect </t>
  </si>
  <si>
    <t>sec 21</t>
  </si>
  <si>
    <t xml:space="preserve">low budget </t>
  </si>
  <si>
    <t xml:space="preserve">Civil on going </t>
  </si>
  <si>
    <t>SUMIT</t>
  </si>
  <si>
    <t>COLD</t>
  </si>
  <si>
    <t>p2</t>
  </si>
  <si>
    <t>followup after quotation</t>
  </si>
  <si>
    <t>p1</t>
  </si>
  <si>
    <t>prospect</t>
  </si>
  <si>
    <t>quoatation pending</t>
  </si>
  <si>
    <t>low budget</t>
  </si>
  <si>
    <t>D-12, gama-1, greater Noida</t>
  </si>
  <si>
    <t>Sunil chauhan</t>
  </si>
  <si>
    <t>remark</t>
  </si>
  <si>
    <t>he has another quotation in low cost</t>
  </si>
  <si>
    <t>interior and civil work at mayapuri</t>
  </si>
  <si>
    <t>on going Civil work</t>
  </si>
  <si>
    <t>client budget is too low and belongs to rural area</t>
  </si>
  <si>
    <t>client expected budget is too low need to pitch after qutation</t>
  </si>
  <si>
    <t>good client but they wil get position in april</t>
  </si>
  <si>
    <t>budget is too low</t>
  </si>
  <si>
    <t>client clear in first meeting he will not increase budget</t>
  </si>
  <si>
    <t>he want EMI option</t>
  </si>
  <si>
    <t>Villa Interior</t>
  </si>
  <si>
    <t>faridabad, Sanjay Colony, Sector 23, Near Lal Kothi, Sohna Road</t>
  </si>
  <si>
    <t>under construction and waiting for floor plan</t>
  </si>
  <si>
    <t>Sarita vihar ali village</t>
  </si>
  <si>
    <t>Rohtash Rewal</t>
  </si>
  <si>
    <t>negotiation</t>
  </si>
  <si>
    <t>kitchen</t>
  </si>
  <si>
    <t>govindpuri extention</t>
  </si>
  <si>
    <t>pawan bansal</t>
  </si>
  <si>
    <t xml:space="preserve">wardrobe , tv unit </t>
  </si>
  <si>
    <t>Om Enclave Faridabad sec 91</t>
  </si>
  <si>
    <t>Harish kashyap</t>
  </si>
  <si>
    <t>false celling, kitchen</t>
  </si>
  <si>
    <t>Rajni Julka</t>
  </si>
  <si>
    <t>The Omaxe Forest Spa, Sec 43, Faridabad</t>
  </si>
  <si>
    <t>98733 41066</t>
  </si>
  <si>
    <t xml:space="preserve">Real-Prospect </t>
  </si>
  <si>
    <t xml:space="preserve">showroom visit </t>
  </si>
  <si>
    <t>Real-Prospect</t>
  </si>
  <si>
    <t xml:space="preserve"> Faridabad</t>
  </si>
  <si>
    <t>98110 49002</t>
  </si>
  <si>
    <t>Choudhary Shyamveer Narwat</t>
  </si>
  <si>
    <t>Price centric</t>
  </si>
  <si>
    <t>Faridabad Sector 55</t>
  </si>
  <si>
    <t>98992 40141</t>
  </si>
  <si>
    <t>Pooja Sharma</t>
  </si>
  <si>
    <t>quoatation feedback</t>
  </si>
  <si>
    <t>renovation and interior</t>
  </si>
  <si>
    <t>Ravinder Narwat</t>
  </si>
  <si>
    <t>civil + full home interior</t>
  </si>
  <si>
    <t>civil work just started</t>
  </si>
  <si>
    <t>Near Deva General Store, Sector 84, Faridabad</t>
  </si>
  <si>
    <t>85878 08004</t>
  </si>
  <si>
    <t>requrement discuss</t>
  </si>
  <si>
    <t xml:space="preserve"> Faridabad sec 21c</t>
  </si>
  <si>
    <t>97130 36869</t>
  </si>
  <si>
    <t>Vishwas Shrivastava</t>
  </si>
  <si>
    <t>Villa Under Construction</t>
  </si>
  <si>
    <t>Noia</t>
  </si>
  <si>
    <t>Yes</t>
  </si>
  <si>
    <t>No</t>
  </si>
  <si>
    <t>NO</t>
  </si>
  <si>
    <t>Abhinav dutt</t>
  </si>
  <si>
    <t>Full Home Interior 3 floor</t>
  </si>
  <si>
    <t>washroom civil work pending</t>
  </si>
  <si>
    <t>faridabad Sector 45</t>
  </si>
  <si>
    <t>Sector 29, Faridabad</t>
  </si>
  <si>
    <t xml:space="preserve"> Yogesh Sapra</t>
  </si>
  <si>
    <t>wall panaling and celling</t>
  </si>
  <si>
    <t>only false celling and wall panaling work</t>
  </si>
  <si>
    <t>fridabad sector 17</t>
  </si>
  <si>
    <t>98109 08827</t>
  </si>
  <si>
    <t>Dr. Deepika sharma</t>
  </si>
  <si>
    <t>living area interior</t>
  </si>
  <si>
    <t>The client wants to get the entire house interior done and will give us the full project if the pricing suits her.</t>
  </si>
  <si>
    <t>B-37, Ashoka Enclave, Sector 37, Faridabad</t>
  </si>
  <si>
    <t>95605 38293</t>
  </si>
  <si>
    <t xml:space="preserve"> Shyam Sunder Navik</t>
  </si>
  <si>
    <t xml:space="preserve">budget is low </t>
  </si>
  <si>
    <t>wall paper, molding and door polish</t>
  </si>
  <si>
    <t xml:space="preserve"> Flat No. 801, Saffron Tower, Omaxe Green Valley, Sector 42, Faridabad</t>
  </si>
  <si>
    <t>98737 45911</t>
  </si>
  <si>
    <t>Abhishek Singh</t>
  </si>
  <si>
    <t>modular kitchen and upvc door</t>
  </si>
  <si>
    <t xml:space="preserve"> Flat No. 226, Ground Floor, Ashoka Enclave Part-1, Faridabad</t>
  </si>
  <si>
    <t>98733 37526</t>
  </si>
  <si>
    <t>Virender Singh Yadav</t>
  </si>
  <si>
    <t>full  home interior</t>
  </si>
  <si>
    <t>Faridabad</t>
  </si>
  <si>
    <t>93118 81767</t>
  </si>
  <si>
    <t>Ravi Sharma</t>
  </si>
  <si>
    <t>under construction</t>
  </si>
  <si>
    <t>60th Feet Road, Air Force Road, Faridabad</t>
  </si>
  <si>
    <t>78389 12863</t>
  </si>
  <si>
    <t>Payal Malhotra</t>
  </si>
  <si>
    <t xml:space="preserve">modular kitchen </t>
  </si>
  <si>
    <t>open budget</t>
  </si>
  <si>
    <t>Royal Heritage, IMT Faridabad</t>
  </si>
  <si>
    <t xml:space="preserve"> 98117 38360</t>
  </si>
  <si>
    <t>Ashwani Sharma</t>
  </si>
  <si>
    <t>design discussion</t>
  </si>
  <si>
    <t>full home interior</t>
  </si>
  <si>
    <t>Payal Adlokha</t>
  </si>
  <si>
    <t>Ballabhgarh, Faridabad — 121004</t>
  </si>
  <si>
    <t>+91 99530 42402‬</t>
  </si>
  <si>
    <t>Tamanna Mittal</t>
  </si>
  <si>
    <t>civil and interior</t>
  </si>
  <si>
    <t>sumit</t>
  </si>
  <si>
    <t>maximum civil work</t>
  </si>
  <si>
    <t xml:space="preserve"> E3, Om Nagar, Molar Band, Faridabad, New Delhi, Haryana 121002, India
</t>
  </si>
  <si>
    <t>+91 87504 31935‬</t>
  </si>
  <si>
    <t xml:space="preserve"> Arun Mishra</t>
  </si>
  <si>
    <t>closed</t>
  </si>
  <si>
    <t xml:space="preserve"> 325, Sector 31, Faridabad</t>
  </si>
  <si>
    <t>97114 62007‬</t>
  </si>
  <si>
    <t>Mukesh Tomar</t>
  </si>
  <si>
    <t>closer discussion</t>
  </si>
  <si>
    <t>executed site visit</t>
  </si>
  <si>
    <t>G-Noida</t>
  </si>
  <si>
    <t xml:space="preserve"> Verona Heights</t>
  </si>
  <si>
    <t>Mr Rajesh</t>
  </si>
  <si>
    <t>quotation discussion</t>
  </si>
  <si>
    <t xml:space="preserve">full home interior with civil </t>
  </si>
  <si>
    <t>virtual meeting done</t>
  </si>
  <si>
    <t>waiting for executed site visit</t>
  </si>
  <si>
    <t>office visit</t>
  </si>
  <si>
    <t>Sector 62, Plot No. 442</t>
  </si>
  <si>
    <t>Vinod Sharma</t>
  </si>
  <si>
    <t>wall panaling and kitchen</t>
  </si>
  <si>
    <t xml:space="preserve">Faridabad sec 51 </t>
  </si>
  <si>
    <t xml:space="preserve"> ‪+91 88265 92667‬</t>
  </si>
  <si>
    <t>Manish Kumar</t>
  </si>
  <si>
    <t>Himanshu Jha</t>
  </si>
  <si>
    <t>Amolik 145, N.I.T, Faridabad</t>
  </si>
  <si>
    <t>97171 62402‬</t>
  </si>
  <si>
    <t xml:space="preserve"> 2067, Sector 2, Faridabad</t>
  </si>
  <si>
    <t>99992 25598‬</t>
  </si>
  <si>
    <t>Aditya Gaur</t>
  </si>
  <si>
    <t>waiting for excuted site visit</t>
  </si>
  <si>
    <t>Shree Homes, Sector 4, Faridabad</t>
  </si>
  <si>
    <t xml:space="preserve">74286 96055‬ </t>
  </si>
  <si>
    <t>laxmikant</t>
  </si>
  <si>
    <t>budget 10 lakh only quotation value 1300000</t>
  </si>
  <si>
    <t>gopal sharma</t>
  </si>
  <si>
    <t>site visit</t>
  </si>
  <si>
    <t>waiting for site visit</t>
  </si>
  <si>
    <t>noida</t>
  </si>
  <si>
    <t>noida-62</t>
  </si>
  <si>
    <t>Anamika</t>
  </si>
  <si>
    <t>plan a showroom visit</t>
  </si>
  <si>
    <t>Sushil kumar katihar</t>
  </si>
  <si>
    <t>yes</t>
  </si>
  <si>
    <t xml:space="preserve">discount 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</si>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</sst>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&quot;₹&quot;\ #,##0.00"/>
  </numFmts>
  <fonts count="1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  <font>
      <sz val="8"/>
      <color theme="0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8"/>
      <color theme="1"/>
      <name val="Arial"/>
      <family val="2"/>
    </font>
    <font>
      <sz val="8"/>
      <color theme="1"/>
      <name val="Verdana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6" fillId="0" borderId="0">
      <alignment vertical="center"/>
    </xf>
  </cellStyleXfs>
  <cellXfs count="75">
    <xf numFmtId="0" fontId="0" fillId="0" borderId="0" xfId="0"/>
    <xf numFmtId="0" fontId="0" fillId="0" borderId="0" xfId="0" applyAlignment="1">
      <alignment horizontal="center"/>
    </xf>
    <xf numFmtId="0" fontId="5" fillId="2" borderId="1" xfId="2" applyFont="1" applyFill="1" applyBorder="1" applyAlignment="1">
      <alignment horizontal="center" wrapText="1"/>
    </xf>
    <xf numFmtId="0" fontId="5" fillId="2" borderId="1" xfId="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0" xfId="0" applyFont="1"/>
    <xf numFmtId="0" fontId="9" fillId="0" borderId="1" xfId="0" applyFont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9" fillId="0" borderId="0" xfId="0" applyFont="1" applyAlignment="1">
      <alignment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vertical="top"/>
    </xf>
    <xf numFmtId="0" fontId="0" fillId="4" borderId="1" xfId="0" applyFill="1" applyBorder="1" applyAlignment="1">
      <alignment vertical="top"/>
    </xf>
    <xf numFmtId="0" fontId="9" fillId="0" borderId="1" xfId="0" applyFont="1" applyBorder="1" applyAlignment="1">
      <alignment vertical="top"/>
    </xf>
    <xf numFmtId="0" fontId="9" fillId="4" borderId="1" xfId="0" applyFont="1" applyFill="1" applyBorder="1" applyAlignment="1">
      <alignment vertical="top"/>
    </xf>
    <xf numFmtId="0" fontId="9" fillId="0" borderId="0" xfId="0" applyFont="1"/>
    <xf numFmtId="165" fontId="0" fillId="0" borderId="0" xfId="1" quotePrefix="1" applyNumberFormat="1" applyFont="1"/>
    <xf numFmtId="165" fontId="0" fillId="0" borderId="0" xfId="0" applyNumberFormat="1"/>
    <xf numFmtId="165" fontId="0" fillId="0" borderId="0" xfId="1" applyNumberFormat="1" applyFont="1"/>
    <xf numFmtId="164" fontId="0" fillId="0" borderId="0" xfId="0" applyNumberFormat="1"/>
    <xf numFmtId="0" fontId="10" fillId="2" borderId="1" xfId="2" applyFont="1" applyFill="1" applyBorder="1" applyAlignment="1">
      <alignment horizontal="center" vertical="center" wrapText="1"/>
    </xf>
    <xf numFmtId="1" fontId="10" fillId="2" borderId="1" xfId="2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5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4" fontId="12" fillId="3" borderId="1" xfId="0" applyNumberFormat="1" applyFont="1" applyFill="1" applyBorder="1" applyAlignment="1">
      <alignment horizontal="center" vertical="center"/>
    </xf>
    <xf numFmtId="15" fontId="12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1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/>
    </xf>
    <xf numFmtId="16" fontId="12" fillId="3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1" fontId="13" fillId="3" borderId="1" xfId="0" applyNumberFormat="1" applyFont="1" applyFill="1" applyBorder="1" applyAlignment="1">
      <alignment horizontal="center" vertical="center"/>
    </xf>
    <xf numFmtId="14" fontId="13" fillId="3" borderId="1" xfId="0" applyNumberFormat="1" applyFont="1" applyFill="1" applyBorder="1" applyAlignment="1">
      <alignment horizontal="center" vertical="center"/>
    </xf>
    <xf numFmtId="1" fontId="14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" fontId="14" fillId="3" borderId="1" xfId="0" applyNumberFormat="1" applyFont="1" applyFill="1" applyBorder="1" applyAlignment="1">
      <alignment horizontal="center" vertical="center" wrapText="1"/>
    </xf>
    <xf numFmtId="15" fontId="13" fillId="3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wrapText="1"/>
    </xf>
    <xf numFmtId="0" fontId="0" fillId="5" borderId="0" xfId="0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1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9" fontId="11" fillId="3" borderId="1" xfId="0" applyNumberFormat="1" applyFont="1" applyFill="1" applyBorder="1" applyAlignment="1">
      <alignment horizontal="center" vertical="center"/>
    </xf>
    <xf numFmtId="165" fontId="12" fillId="3" borderId="1" xfId="1" applyNumberFormat="1" applyFont="1" applyFill="1" applyBorder="1" applyAlignment="1">
      <alignment horizontal="center" vertical="center"/>
    </xf>
    <xf numFmtId="165" fontId="11" fillId="3" borderId="1" xfId="1" applyNumberFormat="1" applyFont="1" applyFill="1" applyBorder="1" applyAlignment="1">
      <alignment horizontal="center" vertical="center"/>
    </xf>
    <xf numFmtId="165" fontId="5" fillId="2" borderId="1" xfId="1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14" fontId="13" fillId="3" borderId="1" xfId="0" applyNumberFormat="1" applyFont="1" applyFill="1" applyBorder="1" applyAlignment="1">
      <alignment horizontal="center" vertical="center" wrapText="1"/>
    </xf>
    <xf numFmtId="166" fontId="10" fillId="2" borderId="1" xfId="2" applyNumberFormat="1" applyFont="1" applyFill="1" applyBorder="1" applyAlignment="1">
      <alignment horizontal="center" vertical="center" wrapText="1"/>
    </xf>
    <xf numFmtId="166" fontId="12" fillId="3" borderId="1" xfId="0" applyNumberFormat="1" applyFont="1" applyFill="1" applyBorder="1" applyAlignment="1">
      <alignment horizontal="center" vertical="center"/>
    </xf>
    <xf numFmtId="166" fontId="13" fillId="3" borderId="1" xfId="0" applyNumberFormat="1" applyFont="1" applyFill="1" applyBorder="1" applyAlignment="1">
      <alignment horizontal="center" vertical="center"/>
    </xf>
    <xf numFmtId="166" fontId="14" fillId="3" borderId="1" xfId="0" applyNumberFormat="1" applyFont="1" applyFill="1" applyBorder="1" applyAlignment="1">
      <alignment horizontal="center" vertical="center"/>
    </xf>
    <xf numFmtId="166" fontId="5" fillId="2" borderId="1" xfId="2" applyNumberFormat="1" applyFont="1" applyFill="1" applyBorder="1" applyAlignment="1">
      <alignment horizontal="center" vertical="center" wrapText="1"/>
    </xf>
    <xf numFmtId="166" fontId="12" fillId="3" borderId="1" xfId="1" applyNumberFormat="1" applyFont="1" applyFill="1" applyBorder="1" applyAlignment="1">
      <alignment horizontal="center" vertical="center"/>
    </xf>
    <xf numFmtId="166" fontId="5" fillId="2" borderId="1" xfId="1" applyNumberFormat="1" applyFont="1" applyFill="1" applyBorder="1" applyAlignment="1">
      <alignment horizontal="center" vertical="center" wrapText="1"/>
    </xf>
    <xf numFmtId="166" fontId="3" fillId="3" borderId="0" xfId="0" applyNumberFormat="1" applyFont="1" applyFill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4" fontId="11" fillId="3" borderId="1" xfId="0" applyNumberFormat="1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00000000-0005-0000-0000-000002000000}"/>
    <cellStyle name="Normal 3" xfId="2" xr:uid="{00000000-0005-0000-0000-000003000000}"/>
  </cellStyles>
  <dxfs count="4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opLeftCell="B1" zoomScale="183" zoomScaleNormal="183" workbookViewId="0">
      <selection activeCell="C16" sqref="C16"/>
    </sheetView>
  </sheetViews>
  <sheetFormatPr defaultColWidth="11" defaultRowHeight="15.75" x14ac:dyDescent="0.25"/>
  <cols>
    <col min="2" max="2" width="34" bestFit="1" customWidth="1"/>
    <col min="3" max="3" width="16" bestFit="1" customWidth="1"/>
    <col min="4" max="4" width="18.5" bestFit="1" customWidth="1"/>
  </cols>
  <sheetData>
    <row r="1" spans="1:6" x14ac:dyDescent="0.25">
      <c r="B1" s="11" t="s">
        <v>79</v>
      </c>
      <c r="C1" s="11" t="s">
        <v>81</v>
      </c>
    </row>
    <row r="2" spans="1:6" x14ac:dyDescent="0.25">
      <c r="B2" s="11" t="s">
        <v>82</v>
      </c>
      <c r="C2" s="11" t="s">
        <v>83</v>
      </c>
      <c r="D2" s="11" t="s">
        <v>84</v>
      </c>
    </row>
    <row r="3" spans="1:6" x14ac:dyDescent="0.25">
      <c r="A3" t="s">
        <v>85</v>
      </c>
      <c r="B3" t="s">
        <v>86</v>
      </c>
      <c r="C3">
        <v>22</v>
      </c>
      <c r="D3">
        <v>96</v>
      </c>
      <c r="E3">
        <v>39</v>
      </c>
      <c r="F3">
        <f>E3/D3*100</f>
        <v>40.625</v>
      </c>
    </row>
    <row r="4" spans="1:6" x14ac:dyDescent="0.25">
      <c r="A4" t="s">
        <v>87</v>
      </c>
      <c r="B4" t="s">
        <v>88</v>
      </c>
      <c r="C4" s="21">
        <v>500000</v>
      </c>
      <c r="D4" s="22">
        <f>C4*4</f>
        <v>2000000</v>
      </c>
      <c r="E4">
        <v>50000</v>
      </c>
      <c r="F4" s="24">
        <f>E4/D4*100</f>
        <v>2.5</v>
      </c>
    </row>
    <row r="5" spans="1:6" x14ac:dyDescent="0.25">
      <c r="A5" t="s">
        <v>89</v>
      </c>
      <c r="B5" t="s">
        <v>90</v>
      </c>
      <c r="C5">
        <v>7</v>
      </c>
      <c r="D5">
        <f>C5*4</f>
        <v>28</v>
      </c>
      <c r="E5">
        <v>12</v>
      </c>
      <c r="F5">
        <f>E5/D5*100</f>
        <v>42.857142857142854</v>
      </c>
    </row>
    <row r="6" spans="1:6" x14ac:dyDescent="0.25">
      <c r="A6" t="s">
        <v>91</v>
      </c>
      <c r="B6" t="s">
        <v>92</v>
      </c>
      <c r="C6" t="s">
        <v>93</v>
      </c>
      <c r="D6" s="23" t="s">
        <v>94</v>
      </c>
    </row>
    <row r="7" spans="1:6" x14ac:dyDescent="0.25">
      <c r="A7" t="s">
        <v>95</v>
      </c>
      <c r="B7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workbookViewId="0">
      <selection activeCell="D3" sqref="D3"/>
    </sheetView>
  </sheetViews>
  <sheetFormatPr defaultColWidth="11" defaultRowHeight="15.75" x14ac:dyDescent="0.25"/>
  <sheetData>
    <row r="1" spans="1:7" s="14" customFormat="1" ht="75" x14ac:dyDescent="0.25">
      <c r="A1" s="12" t="s">
        <v>73</v>
      </c>
      <c r="B1" s="12" t="s">
        <v>18</v>
      </c>
      <c r="C1" s="12" t="s">
        <v>74</v>
      </c>
      <c r="D1" s="12" t="s">
        <v>75</v>
      </c>
      <c r="E1" s="12" t="s">
        <v>76</v>
      </c>
      <c r="F1" s="13" t="s">
        <v>77</v>
      </c>
      <c r="G1" s="12" t="s">
        <v>78</v>
      </c>
    </row>
    <row r="2" spans="1:7" x14ac:dyDescent="0.25">
      <c r="A2" s="15">
        <v>1</v>
      </c>
      <c r="B2" s="16">
        <v>45944</v>
      </c>
      <c r="C2" s="15">
        <v>4</v>
      </c>
      <c r="D2" s="15">
        <v>3</v>
      </c>
      <c r="E2" s="15">
        <f>D2-C2</f>
        <v>-1</v>
      </c>
      <c r="F2" s="17">
        <f>(E2/C2)*100</f>
        <v>-25</v>
      </c>
      <c r="G2" s="15">
        <v>2</v>
      </c>
    </row>
    <row r="3" spans="1:7" x14ac:dyDescent="0.25">
      <c r="A3" s="15">
        <v>2</v>
      </c>
      <c r="B3" s="16">
        <v>45945</v>
      </c>
      <c r="C3" s="15">
        <v>4</v>
      </c>
      <c r="D3" s="15"/>
      <c r="E3" s="15"/>
      <c r="F3" s="17"/>
      <c r="G3" s="15"/>
    </row>
    <row r="4" spans="1:7" x14ac:dyDescent="0.25">
      <c r="A4" s="15">
        <v>3</v>
      </c>
      <c r="B4" s="16">
        <v>45946</v>
      </c>
      <c r="C4" s="15">
        <v>4</v>
      </c>
      <c r="D4" s="15"/>
      <c r="E4" s="15"/>
      <c r="F4" s="17"/>
      <c r="G4" s="15"/>
    </row>
    <row r="5" spans="1:7" x14ac:dyDescent="0.25">
      <c r="A5" s="15">
        <v>4</v>
      </c>
      <c r="B5" s="16">
        <v>45947</v>
      </c>
      <c r="C5" s="15">
        <v>4</v>
      </c>
      <c r="D5" s="15"/>
      <c r="E5" s="15"/>
      <c r="F5" s="17"/>
      <c r="G5" s="15"/>
    </row>
    <row r="6" spans="1:7" x14ac:dyDescent="0.25">
      <c r="A6" s="15">
        <v>5</v>
      </c>
      <c r="B6" s="16">
        <v>45948</v>
      </c>
      <c r="C6" s="15">
        <v>4</v>
      </c>
      <c r="D6" s="15"/>
      <c r="E6" s="15"/>
      <c r="F6" s="17"/>
      <c r="G6" s="15"/>
    </row>
    <row r="7" spans="1:7" x14ac:dyDescent="0.25">
      <c r="A7" s="15">
        <v>6</v>
      </c>
      <c r="B7" s="16">
        <v>45949</v>
      </c>
      <c r="C7" s="15">
        <v>4</v>
      </c>
      <c r="D7" s="15"/>
      <c r="E7" s="15"/>
      <c r="F7" s="17"/>
      <c r="G7" s="15"/>
    </row>
    <row r="8" spans="1:7" x14ac:dyDescent="0.25">
      <c r="A8" s="15">
        <v>7</v>
      </c>
      <c r="B8" s="16">
        <v>45950</v>
      </c>
      <c r="C8" s="15">
        <v>4</v>
      </c>
      <c r="D8" s="15"/>
      <c r="E8" s="15"/>
      <c r="F8" s="17"/>
      <c r="G8" s="15"/>
    </row>
    <row r="9" spans="1:7" x14ac:dyDescent="0.25">
      <c r="A9" s="15">
        <v>8</v>
      </c>
      <c r="B9" s="16">
        <v>45951</v>
      </c>
      <c r="C9" s="15">
        <v>4</v>
      </c>
      <c r="D9" s="15"/>
      <c r="E9" s="15"/>
      <c r="F9" s="17"/>
      <c r="G9" s="15"/>
    </row>
    <row r="10" spans="1:7" x14ac:dyDescent="0.25">
      <c r="A10" s="15">
        <v>9</v>
      </c>
      <c r="B10" s="16">
        <v>45952</v>
      </c>
      <c r="C10" s="15">
        <v>4</v>
      </c>
      <c r="D10" s="15"/>
      <c r="E10" s="15"/>
      <c r="F10" s="17"/>
      <c r="G10" s="15"/>
    </row>
    <row r="11" spans="1:7" x14ac:dyDescent="0.25">
      <c r="A11" s="15">
        <v>10</v>
      </c>
      <c r="B11" s="16">
        <v>45953</v>
      </c>
      <c r="C11" s="15">
        <v>4</v>
      </c>
      <c r="D11" s="15"/>
      <c r="E11" s="15"/>
      <c r="F11" s="17"/>
      <c r="G11" s="15"/>
    </row>
    <row r="12" spans="1:7" x14ac:dyDescent="0.25">
      <c r="A12" s="15">
        <v>11</v>
      </c>
      <c r="B12" s="16">
        <v>45954</v>
      </c>
      <c r="C12" s="15">
        <v>4</v>
      </c>
      <c r="D12" s="15"/>
      <c r="E12" s="15"/>
      <c r="F12" s="17"/>
      <c r="G12" s="15"/>
    </row>
    <row r="13" spans="1:7" x14ac:dyDescent="0.25">
      <c r="A13" s="15">
        <v>12</v>
      </c>
      <c r="B13" s="16">
        <v>45955</v>
      </c>
      <c r="C13" s="15">
        <v>4</v>
      </c>
      <c r="D13" s="15"/>
      <c r="E13" s="15"/>
      <c r="F13" s="17"/>
      <c r="G13" s="15"/>
    </row>
    <row r="14" spans="1:7" x14ac:dyDescent="0.25">
      <c r="A14" s="15">
        <v>13</v>
      </c>
      <c r="B14" s="16">
        <v>45956</v>
      </c>
      <c r="C14" s="15">
        <v>4</v>
      </c>
      <c r="D14" s="15"/>
      <c r="E14" s="15"/>
      <c r="F14" s="17"/>
      <c r="G14" s="15"/>
    </row>
    <row r="15" spans="1:7" x14ac:dyDescent="0.25">
      <c r="A15" s="15">
        <v>14</v>
      </c>
      <c r="B15" s="16">
        <v>45957</v>
      </c>
      <c r="C15" s="15">
        <v>4</v>
      </c>
      <c r="D15" s="15"/>
      <c r="E15" s="15"/>
      <c r="F15" s="17"/>
      <c r="G15" s="15"/>
    </row>
    <row r="16" spans="1:7" x14ac:dyDescent="0.25">
      <c r="A16" s="15">
        <v>15</v>
      </c>
      <c r="B16" s="16">
        <v>45958</v>
      </c>
      <c r="C16" s="15">
        <v>4</v>
      </c>
      <c r="D16" s="15"/>
      <c r="E16" s="15"/>
      <c r="F16" s="17"/>
      <c r="G16" s="15"/>
    </row>
    <row r="17" spans="1:7" x14ac:dyDescent="0.25">
      <c r="A17" s="15">
        <v>16</v>
      </c>
      <c r="B17" s="16">
        <v>45959</v>
      </c>
      <c r="C17" s="15">
        <v>4</v>
      </c>
      <c r="D17" s="15"/>
      <c r="E17" s="15"/>
      <c r="F17" s="17"/>
      <c r="G17" s="15"/>
    </row>
    <row r="18" spans="1:7" x14ac:dyDescent="0.25">
      <c r="A18" s="15">
        <v>17</v>
      </c>
      <c r="B18" s="16">
        <v>45960</v>
      </c>
      <c r="C18" s="15">
        <v>4</v>
      </c>
      <c r="D18" s="15"/>
      <c r="E18" s="15"/>
      <c r="F18" s="17"/>
      <c r="G18" s="15"/>
    </row>
    <row r="19" spans="1:7" x14ac:dyDescent="0.25">
      <c r="A19" s="15">
        <v>18</v>
      </c>
      <c r="B19" s="16">
        <v>45961</v>
      </c>
      <c r="C19" s="15">
        <v>4</v>
      </c>
      <c r="D19" s="15"/>
      <c r="E19" s="15"/>
      <c r="F19" s="17"/>
      <c r="G19" s="15"/>
    </row>
    <row r="20" spans="1:7" s="20" customFormat="1" ht="15" x14ac:dyDescent="0.25">
      <c r="A20" s="18"/>
      <c r="B20" s="18" t="s">
        <v>23</v>
      </c>
      <c r="C20" s="18">
        <f t="shared" ref="C20:G20" si="0">SUM(C2:C19)</f>
        <v>72</v>
      </c>
      <c r="D20" s="18">
        <f t="shared" si="0"/>
        <v>3</v>
      </c>
      <c r="E20" s="18">
        <f t="shared" si="0"/>
        <v>-1</v>
      </c>
      <c r="F20" s="19">
        <f t="shared" si="0"/>
        <v>-25</v>
      </c>
      <c r="G20" s="18">
        <f t="shared" si="0"/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workbookViewId="0">
      <selection activeCell="D21" sqref="D21"/>
    </sheetView>
  </sheetViews>
  <sheetFormatPr defaultColWidth="11" defaultRowHeight="15.75" x14ac:dyDescent="0.25"/>
  <cols>
    <col min="1" max="1" width="6.125" style="1" bestFit="1" customWidth="1"/>
    <col min="2" max="2" width="6.5" style="1" bestFit="1" customWidth="1"/>
    <col min="3" max="3" width="26.625" style="1" bestFit="1" customWidth="1"/>
    <col min="4" max="4" width="14.5" style="1" bestFit="1" customWidth="1"/>
    <col min="5" max="5" width="13" style="1" bestFit="1" customWidth="1"/>
    <col min="6" max="6" width="13.625" style="1" bestFit="1" customWidth="1"/>
    <col min="7" max="16384" width="11" style="1"/>
  </cols>
  <sheetData>
    <row r="1" spans="1:10" s="52" customFormat="1" x14ac:dyDescent="0.25">
      <c r="A1" s="51" t="s">
        <v>20</v>
      </c>
      <c r="B1" s="51" t="s">
        <v>51</v>
      </c>
      <c r="C1" s="51" t="s">
        <v>52</v>
      </c>
      <c r="D1" s="51" t="s">
        <v>53</v>
      </c>
      <c r="E1" s="51" t="s">
        <v>54</v>
      </c>
      <c r="F1" s="51" t="s">
        <v>55</v>
      </c>
      <c r="G1" s="51" t="s">
        <v>56</v>
      </c>
    </row>
    <row r="2" spans="1:10" x14ac:dyDescent="0.25">
      <c r="A2" s="10">
        <v>1</v>
      </c>
      <c r="B2" s="10" t="s">
        <v>57</v>
      </c>
      <c r="C2" s="10" t="s">
        <v>58</v>
      </c>
      <c r="D2" s="53">
        <f>6*4</f>
        <v>24</v>
      </c>
      <c r="E2" s="53">
        <v>25</v>
      </c>
      <c r="F2" s="53">
        <f t="shared" ref="F2:F8" si="0">E2-D2</f>
        <v>1</v>
      </c>
      <c r="G2" s="10" t="s">
        <v>59</v>
      </c>
      <c r="J2" s="1">
        <v>20</v>
      </c>
    </row>
    <row r="3" spans="1:10" x14ac:dyDescent="0.25">
      <c r="A3" s="10">
        <v>2</v>
      </c>
      <c r="B3" s="10" t="s">
        <v>57</v>
      </c>
      <c r="C3" s="10" t="s">
        <v>60</v>
      </c>
      <c r="D3" s="53">
        <v>500000</v>
      </c>
      <c r="E3" s="53">
        <v>550000</v>
      </c>
      <c r="F3" s="53">
        <f t="shared" si="0"/>
        <v>50000</v>
      </c>
      <c r="G3" s="10" t="s">
        <v>59</v>
      </c>
    </row>
    <row r="4" spans="1:10" x14ac:dyDescent="0.25">
      <c r="A4" s="10">
        <v>3</v>
      </c>
      <c r="B4" s="10" t="s">
        <v>57</v>
      </c>
      <c r="C4" s="10" t="s">
        <v>61</v>
      </c>
      <c r="D4" s="53">
        <v>1</v>
      </c>
      <c r="E4" s="53">
        <v>2</v>
      </c>
      <c r="F4" s="53">
        <f t="shared" si="0"/>
        <v>1</v>
      </c>
      <c r="G4" s="10" t="s">
        <v>59</v>
      </c>
    </row>
    <row r="5" spans="1:10" x14ac:dyDescent="0.25">
      <c r="A5" s="10">
        <v>4</v>
      </c>
      <c r="B5" s="10" t="s">
        <v>57</v>
      </c>
      <c r="C5" s="10" t="s">
        <v>62</v>
      </c>
      <c r="D5" s="53">
        <v>10</v>
      </c>
      <c r="E5" s="53">
        <v>9</v>
      </c>
      <c r="F5" s="53">
        <f t="shared" si="0"/>
        <v>-1</v>
      </c>
      <c r="G5" s="10" t="s">
        <v>63</v>
      </c>
    </row>
    <row r="6" spans="1:10" x14ac:dyDescent="0.25">
      <c r="A6" s="10">
        <v>5</v>
      </c>
      <c r="B6" s="10" t="s">
        <v>57</v>
      </c>
      <c r="C6" s="10" t="s">
        <v>64</v>
      </c>
      <c r="D6" s="53">
        <f>D5*1000000</f>
        <v>10000000</v>
      </c>
      <c r="E6" s="53">
        <f>E5*1000000</f>
        <v>9000000</v>
      </c>
      <c r="F6" s="53">
        <f t="shared" si="0"/>
        <v>-1000000</v>
      </c>
      <c r="G6" s="10" t="s">
        <v>63</v>
      </c>
    </row>
    <row r="7" spans="1:10" x14ac:dyDescent="0.25">
      <c r="A7" s="10">
        <v>6</v>
      </c>
      <c r="B7" s="10" t="s">
        <v>57</v>
      </c>
      <c r="C7" s="10" t="s">
        <v>65</v>
      </c>
      <c r="D7" s="53">
        <v>0</v>
      </c>
      <c r="E7" s="53">
        <v>1</v>
      </c>
      <c r="F7" s="53">
        <f t="shared" si="0"/>
        <v>1</v>
      </c>
      <c r="G7" s="10" t="s">
        <v>63</v>
      </c>
    </row>
    <row r="8" spans="1:10" x14ac:dyDescent="0.25">
      <c r="A8" s="10">
        <v>7</v>
      </c>
      <c r="B8" s="10" t="s">
        <v>57</v>
      </c>
      <c r="C8" s="10" t="s">
        <v>66</v>
      </c>
      <c r="D8" s="53">
        <f>1.5*6</f>
        <v>9</v>
      </c>
      <c r="E8" s="53">
        <v>8</v>
      </c>
      <c r="F8" s="53">
        <f t="shared" si="0"/>
        <v>-1</v>
      </c>
      <c r="G8" s="10" t="s">
        <v>63</v>
      </c>
    </row>
    <row r="9" spans="1:10" x14ac:dyDescent="0.25">
      <c r="A9" s="10">
        <v>8</v>
      </c>
      <c r="B9" s="10" t="s">
        <v>57</v>
      </c>
      <c r="C9" s="10" t="s">
        <v>67</v>
      </c>
      <c r="D9" s="53"/>
      <c r="E9" s="53"/>
      <c r="F9" s="53"/>
      <c r="G9" s="10"/>
    </row>
    <row r="10" spans="1:10" x14ac:dyDescent="0.25">
      <c r="A10" s="10">
        <v>9</v>
      </c>
      <c r="B10" s="10" t="s">
        <v>57</v>
      </c>
      <c r="C10" s="10" t="s">
        <v>68</v>
      </c>
      <c r="D10" s="53"/>
      <c r="E10" s="53"/>
      <c r="F10" s="53"/>
      <c r="G10" s="10"/>
    </row>
    <row r="11" spans="1:10" x14ac:dyDescent="0.25">
      <c r="A11" s="10">
        <v>10</v>
      </c>
      <c r="B11" s="10" t="s">
        <v>69</v>
      </c>
      <c r="C11" s="10" t="s">
        <v>70</v>
      </c>
      <c r="D11" s="53">
        <v>1370000</v>
      </c>
      <c r="E11" s="53"/>
      <c r="F11" s="53"/>
      <c r="G11" s="10"/>
    </row>
    <row r="12" spans="1:10" x14ac:dyDescent="0.25">
      <c r="A12" s="10">
        <v>11</v>
      </c>
      <c r="B12" s="10" t="s">
        <v>69</v>
      </c>
      <c r="C12" s="10" t="s">
        <v>71</v>
      </c>
      <c r="D12" s="53">
        <v>1</v>
      </c>
      <c r="E12" s="53"/>
      <c r="F12" s="53"/>
      <c r="G12" s="10"/>
    </row>
    <row r="13" spans="1:10" x14ac:dyDescent="0.25">
      <c r="A13" s="10">
        <v>12</v>
      </c>
      <c r="B13" s="10" t="s">
        <v>69</v>
      </c>
      <c r="C13" s="10" t="s">
        <v>72</v>
      </c>
      <c r="D13" s="10">
        <v>8</v>
      </c>
      <c r="E13" s="10"/>
      <c r="F13" s="10"/>
      <c r="G13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5"/>
  <sheetViews>
    <sheetView tabSelected="1" topLeftCell="G1" zoomScale="157" zoomScaleNormal="157" workbookViewId="0">
      <pane ySplit="1" topLeftCell="A7" activePane="bottomLeft" state="frozen"/>
      <selection activeCell="J1" sqref="J1"/>
      <selection pane="bottomLeft" activeCell="L7" sqref="L7"/>
    </sheetView>
  </sheetViews>
  <sheetFormatPr defaultColWidth="10.625" defaultRowHeight="15.75" x14ac:dyDescent="0.25"/>
  <cols>
    <col min="1" max="1" width="5" style="5" bestFit="1" customWidth="1"/>
    <col min="2" max="2" width="14.5" style="4" bestFit="1" customWidth="1"/>
    <col min="3" max="3" width="14.625" style="5" customWidth="1"/>
    <col min="4" max="4" width="22.5" style="5" bestFit="1" customWidth="1"/>
    <col min="5" max="5" width="26.875" style="5" bestFit="1" customWidth="1"/>
    <col min="6" max="6" width="14.625" style="5" customWidth="1"/>
    <col min="7" max="7" width="16" style="5" customWidth="1"/>
    <col min="8" max="8" width="15" style="5" customWidth="1"/>
    <col min="9" max="9" width="13" style="1" customWidth="1"/>
    <col min="10" max="10" width="13" style="72" customWidth="1"/>
    <col min="11" max="11" width="11.625" style="6" customWidth="1"/>
    <col min="12" max="12" width="11" style="5" customWidth="1"/>
    <col min="13" max="13" width="17.5" style="5" customWidth="1"/>
    <col min="14" max="14" width="12.5" style="5" customWidth="1"/>
    <col min="15" max="15" width="17.875" style="5" customWidth="1"/>
    <col min="16" max="19" width="10.625" style="5" customWidth="1"/>
    <col min="20" max="20" width="15.5" style="5" customWidth="1"/>
    <col min="21" max="22" width="10.625" style="5" customWidth="1"/>
    <col min="23" max="23" width="10.625" style="5"/>
    <col min="24" max="24" width="12.375" style="5" bestFit="1" customWidth="1"/>
    <col min="25" max="25" width="44.625" style="5" bestFit="1" customWidth="1"/>
    <col min="26" max="16384" width="10.625" style="5"/>
  </cols>
  <sheetData>
    <row r="1" spans="1:23" s="4" customFormat="1" ht="38.25" x14ac:dyDescent="0.2">
      <c r="A1" s="3" t="s">
        <v>20</v>
      </c>
      <c r="B1" s="3" t="s">
        <v>33</v>
      </c>
      <c r="C1" s="3" t="s">
        <v>18</v>
      </c>
      <c r="D1" s="3" t="s">
        <v>34</v>
      </c>
      <c r="E1" s="3" t="s">
        <v>3</v>
      </c>
      <c r="F1" s="3" t="s">
        <v>19</v>
      </c>
      <c r="G1" s="3" t="s">
        <v>35</v>
      </c>
      <c r="H1" s="3" t="s">
        <v>36</v>
      </c>
      <c r="I1" s="2" t="s">
        <v>21</v>
      </c>
      <c r="J1" s="69" t="s">
        <v>37</v>
      </c>
      <c r="K1" s="2" t="s">
        <v>38</v>
      </c>
      <c r="L1" s="3" t="s">
        <v>39</v>
      </c>
      <c r="M1" s="3" t="s">
        <v>22</v>
      </c>
      <c r="N1" s="3" t="s">
        <v>40</v>
      </c>
      <c r="O1" s="3" t="s">
        <v>41</v>
      </c>
      <c r="P1" s="3" t="s">
        <v>5</v>
      </c>
      <c r="Q1" s="3" t="s">
        <v>42</v>
      </c>
      <c r="R1" s="3" t="s">
        <v>43</v>
      </c>
      <c r="S1" s="3" t="s">
        <v>45</v>
      </c>
      <c r="T1" s="3" t="s">
        <v>46</v>
      </c>
      <c r="U1" s="3" t="s">
        <v>47</v>
      </c>
      <c r="V1" s="3" t="s">
        <v>48</v>
      </c>
      <c r="W1" s="3" t="s">
        <v>44</v>
      </c>
    </row>
    <row r="2" spans="1:23" s="35" customFormat="1" ht="20.25" customHeight="1" x14ac:dyDescent="0.25">
      <c r="A2" s="28">
        <v>1</v>
      </c>
      <c r="B2" s="54" t="s">
        <v>184</v>
      </c>
      <c r="C2" s="55">
        <v>45971</v>
      </c>
      <c r="D2" s="62" t="s">
        <v>11</v>
      </c>
      <c r="E2" s="56" t="s">
        <v>104</v>
      </c>
      <c r="F2" s="57">
        <v>9540007970</v>
      </c>
      <c r="G2" s="28" t="s">
        <v>130</v>
      </c>
      <c r="H2" s="33"/>
      <c r="I2" s="28">
        <v>1</v>
      </c>
      <c r="J2" s="70">
        <v>1500000</v>
      </c>
      <c r="K2" s="60">
        <f t="shared" ref="K2:K23" si="0">J2</f>
        <v>1500000</v>
      </c>
      <c r="M2" s="28" t="s">
        <v>131</v>
      </c>
      <c r="N2" s="28">
        <v>0</v>
      </c>
      <c r="O2" s="59">
        <f t="shared" ref="O2:O23" si="1">K2-N2</f>
        <v>1500000</v>
      </c>
      <c r="P2" s="33">
        <v>46001</v>
      </c>
      <c r="Q2" s="34" t="s">
        <v>185</v>
      </c>
      <c r="R2" s="54" t="s">
        <v>187</v>
      </c>
      <c r="S2" s="54" t="s">
        <v>187</v>
      </c>
      <c r="W2" s="58">
        <v>0.9</v>
      </c>
    </row>
    <row r="3" spans="1:23" s="35" customFormat="1" ht="11.25" x14ac:dyDescent="0.25">
      <c r="A3" s="28">
        <v>2</v>
      </c>
      <c r="B3" s="54" t="s">
        <v>30</v>
      </c>
      <c r="C3" s="55">
        <v>45977</v>
      </c>
      <c r="D3" s="62" t="s">
        <v>146</v>
      </c>
      <c r="E3" s="56" t="s">
        <v>114</v>
      </c>
      <c r="F3" s="57">
        <v>9873518414</v>
      </c>
      <c r="G3" s="28" t="s">
        <v>130</v>
      </c>
      <c r="H3" s="33"/>
      <c r="I3" s="28">
        <v>1</v>
      </c>
      <c r="J3" s="70">
        <v>1200000</v>
      </c>
      <c r="K3" s="60">
        <f t="shared" si="0"/>
        <v>1200000</v>
      </c>
      <c r="M3" s="28" t="s">
        <v>131</v>
      </c>
      <c r="N3" s="28">
        <v>0</v>
      </c>
      <c r="O3" s="59">
        <f t="shared" si="1"/>
        <v>1200000</v>
      </c>
      <c r="P3" s="33">
        <v>46371</v>
      </c>
      <c r="Q3" s="34" t="s">
        <v>186</v>
      </c>
      <c r="R3" s="54" t="s">
        <v>187</v>
      </c>
      <c r="S3" s="54" t="s">
        <v>187</v>
      </c>
      <c r="W3" s="58">
        <v>0.9</v>
      </c>
    </row>
    <row r="4" spans="1:23" s="35" customFormat="1" ht="11.25" x14ac:dyDescent="0.2">
      <c r="A4" s="28">
        <v>3</v>
      </c>
      <c r="B4" s="73" t="s">
        <v>50</v>
      </c>
      <c r="C4" s="33">
        <v>45981</v>
      </c>
      <c r="D4" s="62" t="s">
        <v>158</v>
      </c>
      <c r="E4" s="37" t="s">
        <v>157</v>
      </c>
      <c r="F4" s="36">
        <v>9311255077</v>
      </c>
      <c r="G4" s="28" t="s">
        <v>130</v>
      </c>
      <c r="H4" s="33"/>
      <c r="I4" s="28">
        <v>1</v>
      </c>
      <c r="J4" s="70">
        <v>700000</v>
      </c>
      <c r="K4" s="60">
        <f t="shared" si="0"/>
        <v>700000</v>
      </c>
      <c r="M4" s="28" t="s">
        <v>131</v>
      </c>
      <c r="N4" s="28">
        <v>0</v>
      </c>
      <c r="O4" s="59">
        <f t="shared" si="1"/>
        <v>700000</v>
      </c>
      <c r="P4" s="33">
        <v>45996</v>
      </c>
      <c r="Q4" s="34" t="s">
        <v>185</v>
      </c>
      <c r="R4" s="54" t="s">
        <v>187</v>
      </c>
      <c r="S4" s="54" t="s">
        <v>187</v>
      </c>
      <c r="W4" s="58">
        <v>0.6</v>
      </c>
    </row>
    <row r="5" spans="1:23" s="35" customFormat="1" ht="11.25" x14ac:dyDescent="0.2">
      <c r="A5" s="28">
        <v>4</v>
      </c>
      <c r="B5" s="54" t="s">
        <v>30</v>
      </c>
      <c r="C5" s="33">
        <v>45981</v>
      </c>
      <c r="D5" s="62" t="s">
        <v>155</v>
      </c>
      <c r="E5" s="37" t="s">
        <v>154</v>
      </c>
      <c r="F5" s="36">
        <v>9810122491</v>
      </c>
      <c r="G5" s="28" t="s">
        <v>130</v>
      </c>
      <c r="H5" s="33"/>
      <c r="I5" s="28">
        <v>1</v>
      </c>
      <c r="J5" s="70">
        <v>250000</v>
      </c>
      <c r="K5" s="60">
        <f t="shared" si="0"/>
        <v>250000</v>
      </c>
      <c r="M5" s="28" t="s">
        <v>131</v>
      </c>
      <c r="N5" s="28">
        <v>0</v>
      </c>
      <c r="O5" s="59">
        <f t="shared" si="1"/>
        <v>250000</v>
      </c>
      <c r="P5" s="33">
        <v>46001</v>
      </c>
      <c r="Q5" s="34" t="s">
        <v>185</v>
      </c>
      <c r="R5" s="54" t="s">
        <v>187</v>
      </c>
      <c r="S5" s="54" t="s">
        <v>187</v>
      </c>
      <c r="W5" s="58">
        <v>0.8</v>
      </c>
    </row>
    <row r="6" spans="1:23" s="35" customFormat="1" ht="11.25" x14ac:dyDescent="0.2">
      <c r="A6" s="28">
        <v>6</v>
      </c>
      <c r="B6" s="73" t="s">
        <v>50</v>
      </c>
      <c r="C6" s="33">
        <v>45982</v>
      </c>
      <c r="D6" s="62" t="s">
        <v>152</v>
      </c>
      <c r="E6" s="37" t="s">
        <v>167</v>
      </c>
      <c r="F6" s="36" t="s">
        <v>166</v>
      </c>
      <c r="G6" s="28" t="s">
        <v>128</v>
      </c>
      <c r="H6" s="33"/>
      <c r="I6" s="28">
        <v>1</v>
      </c>
      <c r="J6" s="70">
        <v>800000</v>
      </c>
      <c r="K6" s="60">
        <f t="shared" si="0"/>
        <v>800000</v>
      </c>
      <c r="M6" s="34" t="s">
        <v>131</v>
      </c>
      <c r="N6" s="28">
        <v>0</v>
      </c>
      <c r="O6" s="59">
        <f t="shared" si="1"/>
        <v>800000</v>
      </c>
      <c r="P6" s="33">
        <v>45996</v>
      </c>
      <c r="Q6" s="34" t="s">
        <v>185</v>
      </c>
      <c r="R6" s="54" t="s">
        <v>187</v>
      </c>
      <c r="S6" s="54" t="s">
        <v>187</v>
      </c>
      <c r="W6" s="58">
        <v>0.8</v>
      </c>
    </row>
    <row r="7" spans="1:23" s="35" customFormat="1" ht="15.75" customHeight="1" x14ac:dyDescent="0.2">
      <c r="A7" s="28">
        <v>7</v>
      </c>
      <c r="B7" s="73" t="s">
        <v>50</v>
      </c>
      <c r="C7" s="33">
        <v>45982</v>
      </c>
      <c r="D7" s="62" t="s">
        <v>152</v>
      </c>
      <c r="E7" s="37" t="s">
        <v>171</v>
      </c>
      <c r="F7" s="36" t="s">
        <v>170</v>
      </c>
      <c r="G7" s="28" t="s">
        <v>130</v>
      </c>
      <c r="H7" s="33"/>
      <c r="I7" s="28">
        <v>1</v>
      </c>
      <c r="J7" s="70">
        <v>1500000</v>
      </c>
      <c r="K7" s="60">
        <f t="shared" si="0"/>
        <v>1500000</v>
      </c>
      <c r="M7" s="34" t="s">
        <v>131</v>
      </c>
      <c r="N7" s="28">
        <v>0</v>
      </c>
      <c r="O7" s="59">
        <f t="shared" si="1"/>
        <v>1500000</v>
      </c>
      <c r="P7" s="33">
        <v>45996</v>
      </c>
      <c r="Q7" s="35" t="s">
        <v>186</v>
      </c>
      <c r="R7" s="54" t="s">
        <v>187</v>
      </c>
      <c r="S7" s="54" t="s">
        <v>187</v>
      </c>
      <c r="W7" s="58">
        <v>0.8</v>
      </c>
    </row>
    <row r="8" spans="1:23" s="35" customFormat="1" ht="11.25" x14ac:dyDescent="0.2">
      <c r="A8" s="28">
        <v>8</v>
      </c>
      <c r="B8" s="73" t="s">
        <v>50</v>
      </c>
      <c r="C8" s="33">
        <v>45982</v>
      </c>
      <c r="D8" s="62" t="s">
        <v>173</v>
      </c>
      <c r="E8" s="37" t="s">
        <v>159</v>
      </c>
      <c r="F8" s="36" t="s">
        <v>161</v>
      </c>
      <c r="G8" s="28" t="s">
        <v>130</v>
      </c>
      <c r="H8" s="33"/>
      <c r="I8" s="28">
        <v>1</v>
      </c>
      <c r="J8" s="70">
        <v>600000</v>
      </c>
      <c r="K8" s="60">
        <f t="shared" si="0"/>
        <v>600000</v>
      </c>
      <c r="M8" s="34" t="s">
        <v>164</v>
      </c>
      <c r="N8" s="28">
        <v>0</v>
      </c>
      <c r="O8" s="59">
        <f t="shared" si="1"/>
        <v>600000</v>
      </c>
      <c r="P8" s="33">
        <v>46003</v>
      </c>
      <c r="Q8" s="34" t="s">
        <v>185</v>
      </c>
      <c r="R8" s="54" t="s">
        <v>187</v>
      </c>
      <c r="S8" s="54" t="s">
        <v>187</v>
      </c>
      <c r="W8" s="58">
        <v>0.9</v>
      </c>
    </row>
    <row r="9" spans="1:23" s="35" customFormat="1" ht="11.25" x14ac:dyDescent="0.2">
      <c r="A9" s="28">
        <v>9</v>
      </c>
      <c r="B9" s="73" t="s">
        <v>50</v>
      </c>
      <c r="C9" s="33">
        <v>45983</v>
      </c>
      <c r="D9" s="62" t="s">
        <v>11</v>
      </c>
      <c r="E9" s="37" t="s">
        <v>182</v>
      </c>
      <c r="F9" s="36" t="s">
        <v>181</v>
      </c>
      <c r="G9" s="28" t="s">
        <v>130</v>
      </c>
      <c r="H9" s="33"/>
      <c r="I9" s="28">
        <v>1</v>
      </c>
      <c r="J9" s="70">
        <v>1000000</v>
      </c>
      <c r="K9" s="60">
        <f t="shared" si="0"/>
        <v>1000000</v>
      </c>
      <c r="M9" s="34" t="s">
        <v>164</v>
      </c>
      <c r="N9" s="28">
        <v>0</v>
      </c>
      <c r="O9" s="59">
        <f t="shared" si="1"/>
        <v>1000000</v>
      </c>
      <c r="P9" s="33">
        <v>46001</v>
      </c>
      <c r="Q9" s="35" t="s">
        <v>186</v>
      </c>
      <c r="R9" s="54" t="s">
        <v>187</v>
      </c>
      <c r="S9" s="54" t="s">
        <v>187</v>
      </c>
      <c r="W9" s="58">
        <v>0.9</v>
      </c>
    </row>
    <row r="10" spans="1:23" s="63" customFormat="1" ht="11.25" x14ac:dyDescent="0.25">
      <c r="A10" s="28">
        <v>10</v>
      </c>
      <c r="B10" s="73" t="s">
        <v>50</v>
      </c>
      <c r="C10" s="33">
        <v>45984</v>
      </c>
      <c r="D10" s="62" t="s">
        <v>189</v>
      </c>
      <c r="E10" s="28" t="s">
        <v>188</v>
      </c>
      <c r="F10" s="36">
        <v>7835933263</v>
      </c>
      <c r="G10" s="28" t="s">
        <v>130</v>
      </c>
      <c r="H10" s="33"/>
      <c r="I10" s="28">
        <v>1</v>
      </c>
      <c r="J10" s="66">
        <v>6000000</v>
      </c>
      <c r="K10" s="60">
        <f t="shared" si="0"/>
        <v>6000000</v>
      </c>
      <c r="L10" s="35"/>
      <c r="M10" s="34" t="s">
        <v>131</v>
      </c>
      <c r="N10" s="28">
        <v>0</v>
      </c>
      <c r="O10" s="59">
        <f t="shared" si="1"/>
        <v>6000000</v>
      </c>
      <c r="P10" s="33">
        <v>46001</v>
      </c>
      <c r="Q10" s="35" t="s">
        <v>186</v>
      </c>
      <c r="R10" s="35" t="s">
        <v>186</v>
      </c>
      <c r="S10" s="54" t="s">
        <v>187</v>
      </c>
      <c r="T10" s="35"/>
      <c r="U10" s="35"/>
      <c r="V10" s="35"/>
      <c r="W10" s="58">
        <v>0.8</v>
      </c>
    </row>
    <row r="11" spans="1:23" s="63" customFormat="1" ht="11.25" x14ac:dyDescent="0.25">
      <c r="A11" s="28">
        <v>12</v>
      </c>
      <c r="B11" s="73" t="s">
        <v>50</v>
      </c>
      <c r="C11" s="33">
        <v>45984</v>
      </c>
      <c r="D11" s="62" t="s">
        <v>199</v>
      </c>
      <c r="E11" s="28" t="s">
        <v>198</v>
      </c>
      <c r="F11" s="36" t="s">
        <v>197</v>
      </c>
      <c r="G11" s="28" t="s">
        <v>130</v>
      </c>
      <c r="H11" s="33"/>
      <c r="I11" s="28">
        <v>1</v>
      </c>
      <c r="J11" s="66">
        <v>500000</v>
      </c>
      <c r="K11" s="60">
        <f t="shared" si="0"/>
        <v>500000</v>
      </c>
      <c r="L11" s="35"/>
      <c r="M11" s="34" t="s">
        <v>131</v>
      </c>
      <c r="N11" s="28">
        <v>0</v>
      </c>
      <c r="O11" s="59">
        <f t="shared" si="1"/>
        <v>500000</v>
      </c>
      <c r="P11" s="33">
        <v>45996</v>
      </c>
      <c r="Q11" s="35" t="s">
        <v>186</v>
      </c>
      <c r="R11" s="35" t="s">
        <v>186</v>
      </c>
      <c r="S11" s="54" t="s">
        <v>187</v>
      </c>
      <c r="T11" s="35"/>
      <c r="U11" s="35"/>
      <c r="V11" s="35"/>
      <c r="W11" s="58">
        <v>0.8</v>
      </c>
    </row>
    <row r="12" spans="1:23" s="63" customFormat="1" ht="11.25" x14ac:dyDescent="0.25">
      <c r="A12" s="28">
        <v>14</v>
      </c>
      <c r="B12" s="73" t="s">
        <v>50</v>
      </c>
      <c r="C12" s="33">
        <v>45986</v>
      </c>
      <c r="D12" s="62" t="s">
        <v>209</v>
      </c>
      <c r="E12" s="28" t="s">
        <v>208</v>
      </c>
      <c r="F12" s="36" t="s">
        <v>207</v>
      </c>
      <c r="G12" s="28" t="s">
        <v>130</v>
      </c>
      <c r="H12" s="33"/>
      <c r="I12" s="28">
        <v>1</v>
      </c>
      <c r="J12" s="66">
        <v>500000</v>
      </c>
      <c r="K12" s="60">
        <f t="shared" si="0"/>
        <v>500000</v>
      </c>
      <c r="L12" s="35"/>
      <c r="M12" s="34" t="s">
        <v>131</v>
      </c>
      <c r="N12" s="28">
        <v>0</v>
      </c>
      <c r="O12" s="59">
        <f t="shared" si="1"/>
        <v>500000</v>
      </c>
      <c r="P12" s="33">
        <v>45991</v>
      </c>
      <c r="Q12" s="35" t="s">
        <v>186</v>
      </c>
      <c r="R12" s="35" t="s">
        <v>186</v>
      </c>
      <c r="S12" s="54" t="s">
        <v>187</v>
      </c>
      <c r="T12" s="35"/>
      <c r="U12" s="35"/>
      <c r="V12" s="35"/>
      <c r="W12" s="58">
        <v>0.9</v>
      </c>
    </row>
    <row r="13" spans="1:23" s="63" customFormat="1" ht="11.25" x14ac:dyDescent="0.25">
      <c r="A13" s="28">
        <v>15</v>
      </c>
      <c r="B13" s="73" t="s">
        <v>50</v>
      </c>
      <c r="C13" s="33">
        <v>45986</v>
      </c>
      <c r="D13" s="62" t="s">
        <v>213</v>
      </c>
      <c r="E13" s="28" t="s">
        <v>212</v>
      </c>
      <c r="F13" s="36" t="s">
        <v>211</v>
      </c>
      <c r="G13" s="28" t="s">
        <v>130</v>
      </c>
      <c r="H13" s="33"/>
      <c r="I13" s="28">
        <v>1</v>
      </c>
      <c r="J13" s="66">
        <v>800000</v>
      </c>
      <c r="K13" s="60">
        <f t="shared" si="0"/>
        <v>800000</v>
      </c>
      <c r="L13" s="35"/>
      <c r="M13" s="34" t="s">
        <v>131</v>
      </c>
      <c r="N13" s="28">
        <v>0</v>
      </c>
      <c r="O13" s="59">
        <f t="shared" si="1"/>
        <v>800000</v>
      </c>
      <c r="P13" s="33">
        <v>46001</v>
      </c>
      <c r="Q13" s="35" t="s">
        <v>186</v>
      </c>
      <c r="R13" s="35" t="s">
        <v>186</v>
      </c>
      <c r="S13" s="54" t="s">
        <v>187</v>
      </c>
      <c r="T13" s="35"/>
      <c r="U13" s="35"/>
      <c r="V13" s="35"/>
      <c r="W13" s="58">
        <v>0.6</v>
      </c>
    </row>
    <row r="14" spans="1:23" s="63" customFormat="1" ht="11.25" x14ac:dyDescent="0.25">
      <c r="A14" s="28">
        <v>16</v>
      </c>
      <c r="B14" s="73" t="s">
        <v>50</v>
      </c>
      <c r="C14" s="33">
        <v>45986</v>
      </c>
      <c r="D14" s="62" t="s">
        <v>221</v>
      </c>
      <c r="E14" s="28" t="s">
        <v>228</v>
      </c>
      <c r="F14" s="36" t="s">
        <v>219</v>
      </c>
      <c r="G14" s="28" t="s">
        <v>130</v>
      </c>
      <c r="H14" s="33"/>
      <c r="I14" s="28">
        <v>1</v>
      </c>
      <c r="J14" s="66">
        <v>500000</v>
      </c>
      <c r="K14" s="60">
        <f t="shared" si="0"/>
        <v>500000</v>
      </c>
      <c r="L14" s="35"/>
      <c r="M14" s="34" t="s">
        <v>131</v>
      </c>
      <c r="N14" s="28">
        <v>0</v>
      </c>
      <c r="O14" s="59">
        <f t="shared" si="1"/>
        <v>500000</v>
      </c>
      <c r="P14" s="33">
        <v>45991</v>
      </c>
      <c r="Q14" s="35" t="s">
        <v>186</v>
      </c>
      <c r="R14" s="35" t="s">
        <v>186</v>
      </c>
      <c r="S14" s="54" t="s">
        <v>187</v>
      </c>
      <c r="T14" s="35"/>
      <c r="U14" s="35"/>
      <c r="V14" s="35"/>
      <c r="W14" s="58">
        <v>0.9</v>
      </c>
    </row>
    <row r="15" spans="1:23" s="63" customFormat="1" ht="11.25" x14ac:dyDescent="0.25">
      <c r="A15" s="28"/>
      <c r="B15" s="28" t="s">
        <v>50</v>
      </c>
      <c r="C15" s="33">
        <v>45988</v>
      </c>
      <c r="D15" s="62" t="s">
        <v>227</v>
      </c>
      <c r="E15" s="28" t="s">
        <v>241</v>
      </c>
      <c r="F15" s="36" t="s">
        <v>240</v>
      </c>
      <c r="G15" s="28" t="s">
        <v>130</v>
      </c>
      <c r="H15" s="33"/>
      <c r="I15" s="28">
        <v>1</v>
      </c>
      <c r="J15" s="66">
        <v>2000000</v>
      </c>
      <c r="K15" s="60">
        <f t="shared" si="0"/>
        <v>2000000</v>
      </c>
      <c r="L15" s="35"/>
      <c r="M15" s="34" t="s">
        <v>131</v>
      </c>
      <c r="N15" s="28">
        <v>0</v>
      </c>
      <c r="O15" s="59">
        <f t="shared" si="1"/>
        <v>2000000</v>
      </c>
      <c r="P15" s="33">
        <v>46006</v>
      </c>
      <c r="Q15" s="35" t="s">
        <v>186</v>
      </c>
      <c r="R15" s="35" t="s">
        <v>187</v>
      </c>
      <c r="S15" s="54" t="s">
        <v>187</v>
      </c>
      <c r="T15" s="35" t="s">
        <v>243</v>
      </c>
      <c r="U15" s="35"/>
      <c r="V15" s="35"/>
      <c r="W15" s="58">
        <v>0.7</v>
      </c>
    </row>
    <row r="16" spans="1:23" s="63" customFormat="1" ht="11.25" x14ac:dyDescent="0.25">
      <c r="A16" s="28"/>
      <c r="B16" s="28" t="s">
        <v>244</v>
      </c>
      <c r="C16" s="33">
        <v>45989</v>
      </c>
      <c r="D16" s="28" t="s">
        <v>248</v>
      </c>
      <c r="E16" s="28" t="s">
        <v>246</v>
      </c>
      <c r="F16" s="36">
        <v>9855423608</v>
      </c>
      <c r="G16" s="28" t="s">
        <v>128</v>
      </c>
      <c r="H16" s="33"/>
      <c r="I16" s="28">
        <v>0</v>
      </c>
      <c r="J16" s="66">
        <v>1500000</v>
      </c>
      <c r="K16" s="60">
        <f t="shared" si="0"/>
        <v>1500000</v>
      </c>
      <c r="L16" s="35"/>
      <c r="M16" s="34" t="s">
        <v>131</v>
      </c>
      <c r="N16" s="28">
        <v>0</v>
      </c>
      <c r="O16" s="59">
        <f t="shared" si="1"/>
        <v>1500000</v>
      </c>
      <c r="P16" s="33">
        <v>46001</v>
      </c>
      <c r="Q16" s="35" t="s">
        <v>185</v>
      </c>
      <c r="R16" s="35" t="s">
        <v>187</v>
      </c>
      <c r="S16" s="54" t="s">
        <v>187</v>
      </c>
      <c r="T16" s="35"/>
      <c r="U16" s="35"/>
      <c r="V16" s="35"/>
      <c r="W16" s="58">
        <v>0.6</v>
      </c>
    </row>
    <row r="17" spans="1:23" s="63" customFormat="1" ht="11.25" x14ac:dyDescent="0.25">
      <c r="A17" s="28"/>
      <c r="B17" s="28" t="s">
        <v>50</v>
      </c>
      <c r="C17" s="33">
        <v>45990</v>
      </c>
      <c r="D17" s="62" t="s">
        <v>227</v>
      </c>
      <c r="E17" s="28" t="s">
        <v>253</v>
      </c>
      <c r="F17" s="36">
        <v>9810286436</v>
      </c>
      <c r="G17" s="28" t="s">
        <v>130</v>
      </c>
      <c r="H17" s="33"/>
      <c r="I17" s="28">
        <v>1</v>
      </c>
      <c r="J17" s="66">
        <v>2500000</v>
      </c>
      <c r="K17" s="60">
        <f t="shared" si="0"/>
        <v>2500000</v>
      </c>
      <c r="L17" s="35"/>
      <c r="M17" s="34" t="s">
        <v>131</v>
      </c>
      <c r="N17" s="28">
        <v>0</v>
      </c>
      <c r="O17" s="59">
        <f t="shared" si="1"/>
        <v>2500000</v>
      </c>
      <c r="P17" s="33">
        <v>46001</v>
      </c>
      <c r="Q17" s="35" t="s">
        <v>186</v>
      </c>
      <c r="R17" s="35" t="s">
        <v>187</v>
      </c>
      <c r="S17" s="54" t="s">
        <v>187</v>
      </c>
      <c r="T17" s="35" t="s">
        <v>243</v>
      </c>
      <c r="U17" s="35"/>
      <c r="V17" s="35"/>
      <c r="W17" s="58">
        <v>0.6</v>
      </c>
    </row>
    <row r="18" spans="1:23" s="63" customFormat="1" ht="11.25" x14ac:dyDescent="0.25">
      <c r="A18" s="28"/>
      <c r="B18" s="28" t="s">
        <v>50</v>
      </c>
      <c r="C18" s="33">
        <v>45990</v>
      </c>
      <c r="D18" s="28" t="s">
        <v>227</v>
      </c>
      <c r="E18" s="28" t="s">
        <v>257</v>
      </c>
      <c r="F18" s="36" t="s">
        <v>256</v>
      </c>
      <c r="G18" s="28" t="s">
        <v>128</v>
      </c>
      <c r="H18" s="33"/>
      <c r="I18" s="28">
        <v>1</v>
      </c>
      <c r="J18" s="66">
        <v>1000000</v>
      </c>
      <c r="K18" s="60">
        <f t="shared" si="0"/>
        <v>1000000</v>
      </c>
      <c r="L18" s="35"/>
      <c r="M18" s="34" t="s">
        <v>131</v>
      </c>
      <c r="N18" s="28">
        <v>0</v>
      </c>
      <c r="O18" s="59">
        <f t="shared" si="1"/>
        <v>1000000</v>
      </c>
      <c r="P18" s="33">
        <v>46006</v>
      </c>
      <c r="Q18" s="35" t="s">
        <v>186</v>
      </c>
      <c r="R18" s="35" t="s">
        <v>187</v>
      </c>
      <c r="S18" s="54" t="s">
        <v>187</v>
      </c>
      <c r="T18" s="35"/>
      <c r="U18" s="35"/>
      <c r="V18" s="35"/>
      <c r="W18" s="58">
        <v>0.4</v>
      </c>
    </row>
    <row r="19" spans="1:23" s="63" customFormat="1" ht="11.25" x14ac:dyDescent="0.25">
      <c r="A19" s="28"/>
      <c r="B19" s="28" t="s">
        <v>50</v>
      </c>
      <c r="C19" s="33">
        <v>45990</v>
      </c>
      <c r="D19" s="62" t="s">
        <v>227</v>
      </c>
      <c r="E19" s="28" t="s">
        <v>258</v>
      </c>
      <c r="F19" s="36" t="s">
        <v>260</v>
      </c>
      <c r="G19" s="28" t="s">
        <v>130</v>
      </c>
      <c r="H19" s="33"/>
      <c r="I19" s="28">
        <v>1</v>
      </c>
      <c r="J19" s="66">
        <v>700000</v>
      </c>
      <c r="K19" s="60">
        <f t="shared" si="0"/>
        <v>700000</v>
      </c>
      <c r="L19" s="35"/>
      <c r="M19" s="34" t="s">
        <v>131</v>
      </c>
      <c r="N19" s="28">
        <v>0</v>
      </c>
      <c r="O19" s="59">
        <f t="shared" si="1"/>
        <v>700000</v>
      </c>
      <c r="P19" s="33">
        <v>46006</v>
      </c>
      <c r="Q19" s="35" t="s">
        <v>186</v>
      </c>
      <c r="R19" s="35" t="s">
        <v>187</v>
      </c>
      <c r="S19" s="54" t="s">
        <v>187</v>
      </c>
      <c r="T19" s="35"/>
      <c r="U19" s="35"/>
      <c r="V19" s="35"/>
      <c r="W19" s="58">
        <v>0.7</v>
      </c>
    </row>
    <row r="20" spans="1:23" s="63" customFormat="1" ht="11.25" x14ac:dyDescent="0.25">
      <c r="A20" s="28"/>
      <c r="B20" s="28" t="s">
        <v>50</v>
      </c>
      <c r="C20" s="33">
        <v>45991</v>
      </c>
      <c r="D20" s="62" t="s">
        <v>248</v>
      </c>
      <c r="E20" s="28" t="s">
        <v>267</v>
      </c>
      <c r="F20" s="36" t="s">
        <v>266</v>
      </c>
      <c r="G20" s="28" t="s">
        <v>130</v>
      </c>
      <c r="H20" s="33"/>
      <c r="I20" s="28">
        <v>1</v>
      </c>
      <c r="J20" s="66">
        <v>1000000</v>
      </c>
      <c r="K20" s="60">
        <f t="shared" si="0"/>
        <v>1000000</v>
      </c>
      <c r="L20" s="35"/>
      <c r="M20" s="34" t="s">
        <v>131</v>
      </c>
      <c r="N20" s="28">
        <v>0</v>
      </c>
      <c r="O20" s="59">
        <f t="shared" si="1"/>
        <v>1000000</v>
      </c>
      <c r="P20" s="33">
        <v>46001</v>
      </c>
      <c r="Q20" s="35" t="s">
        <v>277</v>
      </c>
      <c r="R20" s="35" t="s">
        <v>187</v>
      </c>
      <c r="S20" s="54" t="s">
        <v>187</v>
      </c>
      <c r="T20" s="35" t="s">
        <v>278</v>
      </c>
      <c r="U20" s="35"/>
      <c r="V20" s="35"/>
      <c r="W20" s="58">
        <v>0.7</v>
      </c>
    </row>
    <row r="21" spans="1:23" s="63" customFormat="1" ht="11.25" x14ac:dyDescent="0.25">
      <c r="A21" s="28"/>
      <c r="B21" s="28" t="s">
        <v>50</v>
      </c>
      <c r="C21" s="33">
        <v>45992</v>
      </c>
      <c r="D21" s="28" t="s">
        <v>152</v>
      </c>
      <c r="E21" s="28" t="s">
        <v>269</v>
      </c>
      <c r="F21" s="36">
        <v>9711048360</v>
      </c>
      <c r="G21" s="28" t="s">
        <v>130</v>
      </c>
      <c r="H21" s="33"/>
      <c r="I21" s="28">
        <v>0</v>
      </c>
      <c r="J21" s="66">
        <v>600000</v>
      </c>
      <c r="K21" s="60">
        <f t="shared" si="0"/>
        <v>600000</v>
      </c>
      <c r="L21" s="35"/>
      <c r="M21" s="34" t="s">
        <v>131</v>
      </c>
      <c r="N21" s="28">
        <v>0</v>
      </c>
      <c r="O21" s="59">
        <f t="shared" si="1"/>
        <v>600000</v>
      </c>
      <c r="P21" s="33">
        <v>46011</v>
      </c>
      <c r="Q21" s="35" t="s">
        <v>186</v>
      </c>
      <c r="R21" s="35" t="s">
        <v>187</v>
      </c>
      <c r="S21" s="54" t="s">
        <v>187</v>
      </c>
      <c r="T21" s="35"/>
      <c r="U21" s="35"/>
      <c r="V21" s="35"/>
      <c r="W21" s="58">
        <v>0.5</v>
      </c>
    </row>
    <row r="22" spans="1:23" s="63" customFormat="1" ht="11.25" x14ac:dyDescent="0.25">
      <c r="A22" s="28"/>
      <c r="B22" s="28" t="s">
        <v>272</v>
      </c>
      <c r="C22" s="33">
        <v>45992</v>
      </c>
      <c r="D22" s="62" t="s">
        <v>11</v>
      </c>
      <c r="E22" s="28" t="s">
        <v>274</v>
      </c>
      <c r="F22" s="36"/>
      <c r="G22" s="28" t="s">
        <v>130</v>
      </c>
      <c r="H22" s="33"/>
      <c r="I22" s="28">
        <v>0</v>
      </c>
      <c r="J22" s="66">
        <v>800000</v>
      </c>
      <c r="K22" s="60">
        <f t="shared" si="0"/>
        <v>800000</v>
      </c>
      <c r="L22" s="35"/>
      <c r="M22" s="34" t="s">
        <v>131</v>
      </c>
      <c r="N22" s="28">
        <v>0</v>
      </c>
      <c r="O22" s="59">
        <f t="shared" si="1"/>
        <v>800000</v>
      </c>
      <c r="P22" s="33">
        <v>46006</v>
      </c>
      <c r="Q22" s="35" t="s">
        <v>185</v>
      </c>
      <c r="R22" s="35" t="s">
        <v>187</v>
      </c>
      <c r="S22" s="54" t="s">
        <v>187</v>
      </c>
      <c r="T22" s="35"/>
      <c r="U22" s="35"/>
      <c r="V22" s="35"/>
      <c r="W22" s="58">
        <v>0.6</v>
      </c>
    </row>
    <row r="23" spans="1:23" s="63" customFormat="1" ht="11.25" x14ac:dyDescent="0.25">
      <c r="A23" s="28"/>
      <c r="B23" s="28" t="s">
        <v>244</v>
      </c>
      <c r="C23" s="74">
        <v>45992</v>
      </c>
      <c r="D23" s="62" t="s">
        <v>11</v>
      </c>
      <c r="E23" s="28" t="s">
        <v>276</v>
      </c>
      <c r="F23" s="36">
        <v>9891051118</v>
      </c>
      <c r="G23" s="28" t="s">
        <v>130</v>
      </c>
      <c r="H23" s="33"/>
      <c r="I23" s="28">
        <v>0</v>
      </c>
      <c r="J23" s="66">
        <v>8000000</v>
      </c>
      <c r="K23" s="60">
        <f t="shared" si="0"/>
        <v>8000000</v>
      </c>
      <c r="L23" s="35"/>
      <c r="M23" s="34" t="s">
        <v>131</v>
      </c>
      <c r="N23" s="28">
        <v>0</v>
      </c>
      <c r="O23" s="59">
        <f t="shared" si="1"/>
        <v>8000000</v>
      </c>
      <c r="P23" s="33">
        <v>46006</v>
      </c>
      <c r="Q23" s="35" t="s">
        <v>279</v>
      </c>
      <c r="R23" s="35" t="s">
        <v>187</v>
      </c>
      <c r="S23" s="54" t="s">
        <v>187</v>
      </c>
      <c r="T23" s="35" t="s">
        <v>270</v>
      </c>
      <c r="U23" s="35"/>
      <c r="V23" s="35"/>
      <c r="W23" s="58">
        <v>0.7</v>
      </c>
    </row>
    <row r="24" spans="1:23" s="63" customFormat="1" ht="11.25" x14ac:dyDescent="0.25">
      <c r="A24" s="28"/>
      <c r="B24" s="73"/>
      <c r="C24" s="33"/>
      <c r="D24" s="28"/>
      <c r="E24" s="28"/>
      <c r="F24" s="36"/>
      <c r="G24" s="28"/>
      <c r="H24" s="33"/>
      <c r="I24" s="28"/>
      <c r="J24" s="66"/>
      <c r="K24" s="60"/>
      <c r="L24" s="35"/>
      <c r="M24" s="34"/>
      <c r="N24" s="28"/>
      <c r="O24" s="59"/>
      <c r="P24" s="33"/>
      <c r="Q24" s="35"/>
      <c r="R24" s="35"/>
      <c r="S24" s="54"/>
      <c r="T24" s="35"/>
      <c r="U24" s="35"/>
      <c r="V24" s="35"/>
      <c r="W24" s="58"/>
    </row>
    <row r="25" spans="1:23" s="63" customFormat="1" ht="11.25" x14ac:dyDescent="0.25">
      <c r="A25" s="28"/>
      <c r="B25" s="73"/>
      <c r="C25" s="33"/>
      <c r="D25" s="28"/>
      <c r="E25" s="28"/>
      <c r="F25" s="36"/>
      <c r="G25" s="28"/>
      <c r="H25" s="33"/>
      <c r="I25" s="28"/>
      <c r="J25" s="66"/>
      <c r="K25" s="60"/>
      <c r="L25" s="35"/>
      <c r="M25" s="34"/>
      <c r="N25" s="28"/>
      <c r="O25" s="59"/>
      <c r="P25" s="33"/>
      <c r="Q25" s="35"/>
      <c r="R25" s="35"/>
      <c r="S25" s="54"/>
      <c r="T25" s="35"/>
      <c r="U25" s="35"/>
      <c r="V25" s="35"/>
      <c r="W25" s="58"/>
    </row>
    <row r="26" spans="1:23" s="63" customFormat="1" ht="11.25" x14ac:dyDescent="0.25">
      <c r="A26" s="28"/>
      <c r="B26" s="73"/>
      <c r="C26" s="33"/>
      <c r="D26" s="28"/>
      <c r="E26" s="28"/>
      <c r="F26" s="36"/>
      <c r="G26" s="28"/>
      <c r="H26" s="33"/>
      <c r="I26" s="28"/>
      <c r="J26" s="66"/>
      <c r="K26" s="60"/>
      <c r="L26" s="35"/>
      <c r="M26" s="34"/>
      <c r="N26" s="28"/>
      <c r="O26" s="59"/>
      <c r="P26" s="33"/>
      <c r="Q26" s="35"/>
      <c r="R26" s="35"/>
      <c r="S26" s="54"/>
      <c r="T26" s="35"/>
      <c r="U26" s="35"/>
      <c r="V26" s="35"/>
      <c r="W26" s="58"/>
    </row>
    <row r="27" spans="1:23" s="63" customFormat="1" ht="11.25" x14ac:dyDescent="0.25">
      <c r="A27" s="28"/>
      <c r="B27" s="73"/>
      <c r="C27" s="33"/>
      <c r="D27" s="28"/>
      <c r="E27" s="28"/>
      <c r="F27" s="36"/>
      <c r="G27" s="28"/>
      <c r="H27" s="33"/>
      <c r="I27" s="28"/>
      <c r="J27" s="66"/>
      <c r="K27" s="60"/>
      <c r="L27" s="35"/>
      <c r="M27" s="34"/>
      <c r="N27" s="28"/>
      <c r="O27" s="59"/>
      <c r="P27" s="33"/>
      <c r="Q27" s="35"/>
      <c r="R27" s="35"/>
      <c r="S27" s="54"/>
      <c r="T27" s="35"/>
      <c r="U27" s="35"/>
      <c r="V27" s="35"/>
      <c r="W27" s="58"/>
    </row>
    <row r="28" spans="1:23" s="50" customFormat="1" x14ac:dyDescent="0.25">
      <c r="A28" s="3"/>
      <c r="B28" s="3"/>
      <c r="C28" s="3"/>
      <c r="D28" s="3" t="s">
        <v>23</v>
      </c>
      <c r="E28" s="3"/>
      <c r="F28" s="3"/>
      <c r="G28" s="3"/>
      <c r="H28" s="3"/>
      <c r="I28" s="3"/>
      <c r="J28" s="71">
        <f>SUM(J2:J23)</f>
        <v>33950000</v>
      </c>
      <c r="K28" s="61">
        <f>SUM(K2:K23)</f>
        <v>33950000</v>
      </c>
      <c r="L28" s="3"/>
      <c r="M28" s="3"/>
      <c r="N28" s="3">
        <f>SUM(N2:N9)</f>
        <v>0</v>
      </c>
      <c r="O28" s="61">
        <f>SUM(O2:O14)</f>
        <v>15850000</v>
      </c>
      <c r="P28" s="3"/>
      <c r="Q28" s="3"/>
      <c r="R28" s="3"/>
      <c r="S28" s="3"/>
      <c r="T28" s="3"/>
      <c r="U28" s="3"/>
      <c r="V28" s="3"/>
      <c r="W28" s="3"/>
    </row>
    <row r="29" spans="1:23" x14ac:dyDescent="0.25">
      <c r="E29" s="7"/>
    </row>
    <row r="30" spans="1:23" x14ac:dyDescent="0.25">
      <c r="E30" s="8"/>
    </row>
    <row r="31" spans="1:23" x14ac:dyDescent="0.25">
      <c r="E31" s="9"/>
    </row>
    <row r="33" spans="5:5" x14ac:dyDescent="0.25">
      <c r="E33" s="7"/>
    </row>
    <row r="34" spans="5:5" x14ac:dyDescent="0.25">
      <c r="E34" s="7"/>
    </row>
    <row r="35" spans="5:5" x14ac:dyDescent="0.25">
      <c r="E35" s="7"/>
    </row>
  </sheetData>
  <autoFilter ref="A1:W28" xr:uid="{00000000-0009-0000-0000-000001000000}"/>
  <phoneticPr fontId="16" type="noConversion"/>
  <conditionalFormatting sqref="E2:E9">
    <cfRule type="duplicateValues" dxfId="401" priority="1429"/>
  </conditionalFormatting>
  <conditionalFormatting sqref="E24:E27 E10:E11">
    <cfRule type="duplicateValues" dxfId="400" priority="15"/>
  </conditionalFormatting>
  <conditionalFormatting sqref="E12:E14">
    <cfRule type="duplicateValues" dxfId="399" priority="8"/>
  </conditionalFormatting>
  <conditionalFormatting sqref="F2:F9">
    <cfRule type="duplicateValues" dxfId="398" priority="1432"/>
    <cfRule type="duplicateValues" dxfId="397" priority="1433"/>
    <cfRule type="duplicateValues" dxfId="396" priority="1434"/>
  </conditionalFormatting>
  <conditionalFormatting sqref="F24:F27 F10:F11">
    <cfRule type="duplicateValues" dxfId="395" priority="9"/>
    <cfRule type="duplicateValues" dxfId="394" priority="10"/>
    <cfRule type="duplicateValues" dxfId="393" priority="11"/>
  </conditionalFormatting>
  <conditionalFormatting sqref="F12:F14">
    <cfRule type="duplicateValues" dxfId="392" priority="5"/>
    <cfRule type="duplicateValues" dxfId="391" priority="6"/>
    <cfRule type="duplicateValues" dxfId="390" priority="7"/>
  </conditionalFormatting>
  <conditionalFormatting sqref="E15:E23">
    <cfRule type="duplicateValues" dxfId="389" priority="4"/>
  </conditionalFormatting>
  <conditionalFormatting sqref="F15:F23">
    <cfRule type="duplicateValues" dxfId="388" priority="3"/>
  </conditionalFormatting>
  <conditionalFormatting sqref="F15:F23">
    <cfRule type="duplicateValues" dxfId="387" priority="2"/>
  </conditionalFormatting>
  <conditionalFormatting sqref="F15:F23">
    <cfRule type="duplicateValues" dxfId="386" priority="1"/>
  </conditionalFormatting>
  <dataValidations count="1">
    <dataValidation type="list" allowBlank="1" showInputMessage="1" showErrorMessage="1" sqref="D3 D22:D23" xr:uid="{D3EE2322-7E2D-4EEE-BCA0-15B4AC6AB6BD}">
      <formula1>$XFA$1:$XFD$10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265"/>
  <sheetViews>
    <sheetView topLeftCell="B1" zoomScale="177" zoomScaleNormal="177" zoomScaleSheetLayoutView="70" workbookViewId="0">
      <pane ySplit="1" topLeftCell="A2" activePane="bottomLeft" state="frozen"/>
      <selection activeCell="F1" sqref="F1"/>
      <selection pane="bottomLeft" activeCell="B38" sqref="B38"/>
    </sheetView>
  </sheetViews>
  <sheetFormatPr defaultColWidth="5.625" defaultRowHeight="11.25" x14ac:dyDescent="0.25"/>
  <cols>
    <col min="1" max="1" width="7.375" style="34" bestFit="1" customWidth="1"/>
    <col min="2" max="2" width="9.375" style="34" bestFit="1" customWidth="1"/>
    <col min="3" max="3" width="10.875" style="28" bestFit="1" customWidth="1"/>
    <col min="4" max="4" width="9.125" style="34" bestFit="1" customWidth="1"/>
    <col min="5" max="5" width="43" style="34" bestFit="1" customWidth="1"/>
    <col min="6" max="6" width="11" style="42" bestFit="1" customWidth="1"/>
    <col min="7" max="7" width="16.125" style="34" bestFit="1" customWidth="1"/>
    <col min="8" max="8" width="9.125" style="34" customWidth="1"/>
    <col min="9" max="9" width="9.125" style="28" customWidth="1"/>
    <col min="10" max="10" width="15.375" style="34" customWidth="1"/>
    <col min="11" max="11" width="9.625" style="34" customWidth="1"/>
    <col min="12" max="12" width="10.125" style="67" customWidth="1"/>
    <col min="13" max="13" width="8.875" style="34" customWidth="1"/>
    <col min="14" max="14" width="20.25" style="45" bestFit="1" customWidth="1"/>
    <col min="15" max="15" width="11.625" style="34" customWidth="1"/>
    <col min="16" max="16" width="8.875" style="34" customWidth="1"/>
    <col min="17" max="17" width="9.625" style="34" bestFit="1" customWidth="1"/>
    <col min="18" max="18" width="12.375" style="34" bestFit="1" customWidth="1"/>
    <col min="19" max="19" width="20" style="45" bestFit="1" customWidth="1"/>
    <col min="20" max="16378" width="5.625" style="34"/>
    <col min="16379" max="16379" width="6.125" style="34" bestFit="1" customWidth="1"/>
    <col min="16380" max="16380" width="8.625" style="34" bestFit="1" customWidth="1"/>
    <col min="16381" max="16381" width="14.625" style="34" bestFit="1" customWidth="1"/>
    <col min="16382" max="16384" width="5.625" style="34"/>
  </cols>
  <sheetData>
    <row r="1" spans="1:19 16379:16381" s="27" customFormat="1" ht="33.75" x14ac:dyDescent="0.25">
      <c r="A1" s="25" t="s">
        <v>0</v>
      </c>
      <c r="B1" s="25" t="s">
        <v>1</v>
      </c>
      <c r="C1" s="25" t="s">
        <v>14</v>
      </c>
      <c r="D1" s="25" t="s">
        <v>12</v>
      </c>
      <c r="E1" s="25" t="s">
        <v>13</v>
      </c>
      <c r="F1" s="26" t="s">
        <v>2</v>
      </c>
      <c r="G1" s="25" t="s">
        <v>3</v>
      </c>
      <c r="H1" s="25" t="s">
        <v>4</v>
      </c>
      <c r="I1" s="25" t="s">
        <v>15</v>
      </c>
      <c r="J1" s="25" t="s">
        <v>16</v>
      </c>
      <c r="K1" s="25" t="s">
        <v>5</v>
      </c>
      <c r="L1" s="65" t="s">
        <v>6</v>
      </c>
      <c r="M1" s="25" t="s">
        <v>7</v>
      </c>
      <c r="N1" s="25" t="s">
        <v>8</v>
      </c>
      <c r="O1" s="25" t="s">
        <v>17</v>
      </c>
      <c r="P1" s="25" t="s">
        <v>9</v>
      </c>
      <c r="Q1" s="25" t="s">
        <v>26</v>
      </c>
      <c r="R1" s="25" t="s">
        <v>27</v>
      </c>
      <c r="S1" s="25" t="s">
        <v>136</v>
      </c>
      <c r="XEY1" s="27" t="s">
        <v>10</v>
      </c>
      <c r="XEZ1" s="27" t="s">
        <v>28</v>
      </c>
      <c r="XFA1" s="27" t="s">
        <v>11</v>
      </c>
    </row>
    <row r="2" spans="1:19 16379:16381" s="35" customFormat="1" ht="22.5" x14ac:dyDescent="0.25">
      <c r="A2" s="28">
        <v>1</v>
      </c>
      <c r="B2" s="55">
        <v>45973</v>
      </c>
      <c r="C2" s="28" t="s">
        <v>97</v>
      </c>
      <c r="D2" s="56" t="s">
        <v>80</v>
      </c>
      <c r="E2" s="56" t="s">
        <v>99</v>
      </c>
      <c r="F2" s="57">
        <v>9711305282</v>
      </c>
      <c r="G2" s="56" t="s">
        <v>98</v>
      </c>
      <c r="H2" s="28" t="s">
        <v>49</v>
      </c>
      <c r="I2" s="32">
        <v>45981</v>
      </c>
      <c r="J2" s="28" t="s">
        <v>125</v>
      </c>
      <c r="K2" s="33">
        <v>46021</v>
      </c>
      <c r="L2" s="66">
        <v>5000000</v>
      </c>
      <c r="M2" s="28" t="s">
        <v>25</v>
      </c>
      <c r="N2" s="62" t="s">
        <v>11</v>
      </c>
      <c r="O2" s="28">
        <v>1</v>
      </c>
      <c r="P2" s="28" t="s">
        <v>126</v>
      </c>
      <c r="Q2" s="28" t="s">
        <v>127</v>
      </c>
      <c r="R2" s="34"/>
      <c r="S2" s="54" t="s">
        <v>148</v>
      </c>
    </row>
    <row r="3" spans="1:19 16379:16381" s="35" customFormat="1" ht="22.5" x14ac:dyDescent="0.25">
      <c r="A3" s="28">
        <v>2</v>
      </c>
      <c r="B3" s="55">
        <v>45975</v>
      </c>
      <c r="C3" s="28" t="s">
        <v>97</v>
      </c>
      <c r="D3" s="56" t="s">
        <v>31</v>
      </c>
      <c r="E3" s="56" t="s">
        <v>101</v>
      </c>
      <c r="F3" s="57">
        <v>8800995451</v>
      </c>
      <c r="G3" s="56" t="s">
        <v>100</v>
      </c>
      <c r="H3" s="28" t="s">
        <v>49</v>
      </c>
      <c r="I3" s="32">
        <v>45981</v>
      </c>
      <c r="J3" s="28" t="s">
        <v>139</v>
      </c>
      <c r="K3" s="33">
        <v>46006</v>
      </c>
      <c r="L3" s="66">
        <v>800000</v>
      </c>
      <c r="M3" s="28" t="s">
        <v>128</v>
      </c>
      <c r="N3" s="62" t="s">
        <v>11</v>
      </c>
      <c r="O3" s="28">
        <v>1</v>
      </c>
      <c r="P3" s="28" t="s">
        <v>126</v>
      </c>
      <c r="Q3" s="28" t="s">
        <v>24</v>
      </c>
      <c r="R3" s="34"/>
      <c r="S3" s="54" t="s">
        <v>140</v>
      </c>
    </row>
    <row r="4" spans="1:19 16379:16381" s="35" customFormat="1" ht="22.5" x14ac:dyDescent="0.25">
      <c r="A4" s="28">
        <v>3</v>
      </c>
      <c r="B4" s="55">
        <v>45974</v>
      </c>
      <c r="C4" s="28" t="s">
        <v>97</v>
      </c>
      <c r="D4" s="56" t="s">
        <v>30</v>
      </c>
      <c r="E4" s="56" t="s">
        <v>103</v>
      </c>
      <c r="F4" s="57">
        <v>9911046439</v>
      </c>
      <c r="G4" s="56" t="s">
        <v>102</v>
      </c>
      <c r="H4" s="28" t="s">
        <v>49</v>
      </c>
      <c r="I4" s="32">
        <v>45981</v>
      </c>
      <c r="J4" s="28" t="s">
        <v>129</v>
      </c>
      <c r="K4" s="33">
        <v>45986</v>
      </c>
      <c r="L4" s="66">
        <v>1200000</v>
      </c>
      <c r="M4" s="28" t="s">
        <v>130</v>
      </c>
      <c r="N4" s="62" t="s">
        <v>11</v>
      </c>
      <c r="O4" s="28">
        <v>1</v>
      </c>
      <c r="P4" s="28" t="s">
        <v>126</v>
      </c>
      <c r="Q4" s="28" t="s">
        <v>127</v>
      </c>
      <c r="R4" s="34"/>
      <c r="S4" s="54" t="s">
        <v>138</v>
      </c>
    </row>
    <row r="5" spans="1:19 16379:16381" x14ac:dyDescent="0.2">
      <c r="A5" s="28">
        <v>4</v>
      </c>
      <c r="B5" s="29">
        <v>45971</v>
      </c>
      <c r="C5" s="28" t="s">
        <v>97</v>
      </c>
      <c r="D5" s="30" t="s">
        <v>80</v>
      </c>
      <c r="E5" s="34" t="s">
        <v>134</v>
      </c>
      <c r="F5" s="42">
        <v>9953131621</v>
      </c>
      <c r="G5" s="34" t="s">
        <v>135</v>
      </c>
      <c r="H5" s="34" t="s">
        <v>49</v>
      </c>
      <c r="I5" s="32">
        <v>45981</v>
      </c>
      <c r="J5" s="28" t="s">
        <v>129</v>
      </c>
      <c r="K5" s="33">
        <v>45991</v>
      </c>
      <c r="L5" s="67">
        <v>5000000</v>
      </c>
      <c r="M5" s="34" t="s">
        <v>128</v>
      </c>
      <c r="O5" s="34">
        <v>1</v>
      </c>
      <c r="P5" s="34" t="s">
        <v>126</v>
      </c>
      <c r="Q5" s="28" t="s">
        <v>127</v>
      </c>
      <c r="S5" s="45" t="s">
        <v>183</v>
      </c>
    </row>
    <row r="6" spans="1:19 16379:16381" s="35" customFormat="1" x14ac:dyDescent="0.25">
      <c r="A6" s="28">
        <v>5</v>
      </c>
      <c r="B6" s="55">
        <v>45971</v>
      </c>
      <c r="C6" s="28" t="s">
        <v>97</v>
      </c>
      <c r="D6" s="56" t="s">
        <v>80</v>
      </c>
      <c r="E6" s="56" t="s">
        <v>105</v>
      </c>
      <c r="F6" s="57">
        <v>9540007970</v>
      </c>
      <c r="G6" s="56" t="s">
        <v>104</v>
      </c>
      <c r="H6" s="28" t="s">
        <v>122</v>
      </c>
      <c r="I6" s="32">
        <v>46000</v>
      </c>
      <c r="J6" s="28" t="s">
        <v>129</v>
      </c>
      <c r="K6" s="33">
        <v>46001</v>
      </c>
      <c r="L6" s="66">
        <v>1500000</v>
      </c>
      <c r="M6" s="28" t="s">
        <v>130</v>
      </c>
      <c r="N6" s="62" t="s">
        <v>11</v>
      </c>
      <c r="O6" s="28">
        <v>1</v>
      </c>
      <c r="P6" s="28" t="s">
        <v>126</v>
      </c>
      <c r="Q6" s="28" t="s">
        <v>131</v>
      </c>
      <c r="R6" s="34"/>
      <c r="S6" s="54"/>
    </row>
    <row r="7" spans="1:19 16379:16381" s="35" customFormat="1" ht="22.5" x14ac:dyDescent="0.25">
      <c r="A7" s="28">
        <v>6</v>
      </c>
      <c r="B7" s="55">
        <v>45976</v>
      </c>
      <c r="C7" s="28" t="s">
        <v>97</v>
      </c>
      <c r="D7" s="56" t="s">
        <v>29</v>
      </c>
      <c r="E7" s="56" t="s">
        <v>107</v>
      </c>
      <c r="F7" s="57">
        <v>9785031767</v>
      </c>
      <c r="G7" s="56" t="s">
        <v>106</v>
      </c>
      <c r="H7" s="28" t="s">
        <v>24</v>
      </c>
      <c r="I7" s="32">
        <v>45981</v>
      </c>
      <c r="J7" s="28" t="s">
        <v>132</v>
      </c>
      <c r="K7" s="33">
        <v>46006</v>
      </c>
      <c r="L7" s="66">
        <v>1200000</v>
      </c>
      <c r="M7" s="28" t="s">
        <v>10</v>
      </c>
      <c r="N7" s="62" t="s">
        <v>11</v>
      </c>
      <c r="O7" s="28">
        <v>1</v>
      </c>
      <c r="P7" s="28" t="s">
        <v>126</v>
      </c>
      <c r="Q7" s="28" t="s">
        <v>24</v>
      </c>
      <c r="R7" s="34"/>
      <c r="S7" s="54" t="s">
        <v>141</v>
      </c>
    </row>
    <row r="8" spans="1:19 16379:16381" s="35" customFormat="1" ht="22.5" x14ac:dyDescent="0.25">
      <c r="A8" s="28">
        <v>7</v>
      </c>
      <c r="B8" s="55">
        <v>45973</v>
      </c>
      <c r="C8" s="28" t="s">
        <v>97</v>
      </c>
      <c r="D8" s="56" t="s">
        <v>80</v>
      </c>
      <c r="E8" s="56" t="s">
        <v>121</v>
      </c>
      <c r="F8" s="57">
        <v>9910920791</v>
      </c>
      <c r="G8" s="56" t="s">
        <v>108</v>
      </c>
      <c r="H8" s="28" t="s">
        <v>24</v>
      </c>
      <c r="I8" s="32">
        <v>45981</v>
      </c>
      <c r="J8" s="28" t="s">
        <v>133</v>
      </c>
      <c r="K8" s="33"/>
      <c r="L8" s="66"/>
      <c r="M8" s="28"/>
      <c r="N8" s="62"/>
      <c r="O8" s="28">
        <v>1</v>
      </c>
      <c r="P8" s="28" t="s">
        <v>126</v>
      </c>
      <c r="Q8" s="28" t="s">
        <v>24</v>
      </c>
      <c r="R8" s="34" t="s">
        <v>124</v>
      </c>
      <c r="S8" s="54" t="s">
        <v>137</v>
      </c>
    </row>
    <row r="9" spans="1:19 16379:16381" s="35" customFormat="1" ht="22.5" x14ac:dyDescent="0.25">
      <c r="A9" s="28">
        <v>8</v>
      </c>
      <c r="B9" s="55">
        <v>45975</v>
      </c>
      <c r="C9" s="28" t="s">
        <v>97</v>
      </c>
      <c r="D9" s="56" t="s">
        <v>30</v>
      </c>
      <c r="E9" s="56" t="s">
        <v>32</v>
      </c>
      <c r="F9" s="57">
        <v>9821540988</v>
      </c>
      <c r="G9" s="56" t="s">
        <v>109</v>
      </c>
      <c r="H9" s="28" t="s">
        <v>49</v>
      </c>
      <c r="I9" s="32">
        <v>45981</v>
      </c>
      <c r="J9" s="28" t="s">
        <v>132</v>
      </c>
      <c r="K9" s="33">
        <v>45986</v>
      </c>
      <c r="L9" s="66">
        <v>400000</v>
      </c>
      <c r="M9" s="28" t="s">
        <v>10</v>
      </c>
      <c r="N9" s="62" t="s">
        <v>11</v>
      </c>
      <c r="O9" s="28">
        <v>1</v>
      </c>
      <c r="P9" s="28" t="s">
        <v>126</v>
      </c>
      <c r="Q9" s="28" t="s">
        <v>127</v>
      </c>
      <c r="R9" s="34"/>
      <c r="S9" s="54" t="s">
        <v>141</v>
      </c>
    </row>
    <row r="10" spans="1:19 16379:16381" s="35" customFormat="1" ht="22.5" x14ac:dyDescent="0.25">
      <c r="A10" s="28">
        <v>9</v>
      </c>
      <c r="B10" s="55">
        <v>45976</v>
      </c>
      <c r="C10" s="28" t="s">
        <v>97</v>
      </c>
      <c r="D10" s="56" t="s">
        <v>29</v>
      </c>
      <c r="E10" s="56" t="s">
        <v>111</v>
      </c>
      <c r="F10" s="57">
        <v>9716865033</v>
      </c>
      <c r="G10" s="56" t="s">
        <v>110</v>
      </c>
      <c r="H10" s="28" t="s">
        <v>24</v>
      </c>
      <c r="I10" s="32"/>
      <c r="J10" s="28" t="s">
        <v>132</v>
      </c>
      <c r="K10" s="33"/>
      <c r="L10" s="66">
        <v>2000000</v>
      </c>
      <c r="M10" s="28" t="s">
        <v>10</v>
      </c>
      <c r="N10" s="62" t="s">
        <v>11</v>
      </c>
      <c r="O10" s="28">
        <v>1</v>
      </c>
      <c r="P10" s="28" t="s">
        <v>126</v>
      </c>
      <c r="Q10" s="28" t="s">
        <v>24</v>
      </c>
      <c r="R10" s="34" t="s">
        <v>143</v>
      </c>
      <c r="S10" s="54" t="s">
        <v>144</v>
      </c>
    </row>
    <row r="11" spans="1:19 16379:16381" s="35" customFormat="1" ht="22.5" x14ac:dyDescent="0.25">
      <c r="A11" s="28">
        <v>10</v>
      </c>
      <c r="B11" s="55">
        <v>45975</v>
      </c>
      <c r="C11" s="28" t="s">
        <v>97</v>
      </c>
      <c r="D11" s="56" t="s">
        <v>31</v>
      </c>
      <c r="E11" s="56" t="s">
        <v>113</v>
      </c>
      <c r="F11" s="57">
        <v>9212318969</v>
      </c>
      <c r="G11" s="56" t="s">
        <v>112</v>
      </c>
      <c r="H11" s="28" t="s">
        <v>49</v>
      </c>
      <c r="I11" s="32">
        <v>45981</v>
      </c>
      <c r="J11" s="28" t="s">
        <v>132</v>
      </c>
      <c r="K11" s="33">
        <v>46021</v>
      </c>
      <c r="L11" s="66">
        <v>1500000</v>
      </c>
      <c r="M11" s="28" t="s">
        <v>10</v>
      </c>
      <c r="N11" s="62" t="s">
        <v>11</v>
      </c>
      <c r="O11" s="28">
        <v>1</v>
      </c>
      <c r="P11" s="28" t="s">
        <v>126</v>
      </c>
      <c r="Q11" s="28" t="s">
        <v>127</v>
      </c>
      <c r="R11" s="34"/>
      <c r="S11" s="54" t="s">
        <v>142</v>
      </c>
    </row>
    <row r="12" spans="1:19 16379:16381" s="35" customFormat="1" x14ac:dyDescent="0.25">
      <c r="A12" s="28">
        <v>11</v>
      </c>
      <c r="B12" s="55">
        <v>45977</v>
      </c>
      <c r="C12" s="28" t="s">
        <v>97</v>
      </c>
      <c r="D12" s="56" t="s">
        <v>50</v>
      </c>
      <c r="E12" s="56" t="s">
        <v>120</v>
      </c>
      <c r="F12" s="57">
        <v>9873518414</v>
      </c>
      <c r="G12" s="56" t="s">
        <v>114</v>
      </c>
      <c r="H12" s="28" t="s">
        <v>122</v>
      </c>
      <c r="I12" s="32">
        <v>45981</v>
      </c>
      <c r="J12" s="28" t="s">
        <v>132</v>
      </c>
      <c r="K12" s="33">
        <v>45991</v>
      </c>
      <c r="L12" s="66">
        <v>1200000</v>
      </c>
      <c r="M12" s="28" t="s">
        <v>130</v>
      </c>
      <c r="N12" s="62" t="s">
        <v>146</v>
      </c>
      <c r="O12" s="28">
        <v>1</v>
      </c>
      <c r="P12" s="28" t="s">
        <v>126</v>
      </c>
      <c r="Q12" s="28" t="s">
        <v>131</v>
      </c>
      <c r="R12" s="34"/>
      <c r="S12" s="54"/>
    </row>
    <row r="13" spans="1:19 16379:16381" s="35" customFormat="1" x14ac:dyDescent="0.25">
      <c r="A13" s="28">
        <v>12</v>
      </c>
      <c r="B13" s="55">
        <v>45977</v>
      </c>
      <c r="C13" s="28" t="s">
        <v>97</v>
      </c>
      <c r="D13" s="56" t="s">
        <v>50</v>
      </c>
      <c r="E13" s="56" t="s">
        <v>116</v>
      </c>
      <c r="F13" s="57">
        <v>7834998101</v>
      </c>
      <c r="G13" s="56" t="s">
        <v>115</v>
      </c>
      <c r="H13" s="28" t="s">
        <v>24</v>
      </c>
      <c r="I13" s="32">
        <v>45981</v>
      </c>
      <c r="J13" s="28" t="s">
        <v>133</v>
      </c>
      <c r="K13" s="33"/>
      <c r="L13" s="66"/>
      <c r="M13" s="28"/>
      <c r="N13" s="62"/>
      <c r="O13" s="28">
        <v>1</v>
      </c>
      <c r="P13" s="28" t="s">
        <v>126</v>
      </c>
      <c r="Q13" s="28" t="s">
        <v>24</v>
      </c>
      <c r="R13" s="34" t="s">
        <v>124</v>
      </c>
      <c r="S13" s="54" t="s">
        <v>145</v>
      </c>
    </row>
    <row r="14" spans="1:19 16379:16381" s="35" customFormat="1" x14ac:dyDescent="0.25">
      <c r="A14" s="28">
        <v>13</v>
      </c>
      <c r="B14" s="55">
        <v>45978</v>
      </c>
      <c r="C14" s="28" t="s">
        <v>97</v>
      </c>
      <c r="D14" s="56" t="s">
        <v>50</v>
      </c>
      <c r="E14" s="56" t="s">
        <v>147</v>
      </c>
      <c r="F14" s="57" t="s">
        <v>118</v>
      </c>
      <c r="G14" s="56" t="s">
        <v>117</v>
      </c>
      <c r="H14" s="28" t="s">
        <v>24</v>
      </c>
      <c r="I14" s="32">
        <v>45981</v>
      </c>
      <c r="J14" s="28"/>
      <c r="K14" s="33">
        <v>45986</v>
      </c>
      <c r="L14" s="66">
        <v>1500000</v>
      </c>
      <c r="M14" s="28" t="s">
        <v>128</v>
      </c>
      <c r="N14" s="62" t="s">
        <v>11</v>
      </c>
      <c r="O14" s="28">
        <v>1</v>
      </c>
      <c r="P14" s="28" t="s">
        <v>126</v>
      </c>
      <c r="Q14" s="28" t="s">
        <v>24</v>
      </c>
      <c r="R14" s="34" t="s">
        <v>124</v>
      </c>
      <c r="S14" s="54"/>
    </row>
    <row r="15" spans="1:19 16379:16381" s="35" customFormat="1" x14ac:dyDescent="0.25">
      <c r="A15" s="28">
        <v>14</v>
      </c>
      <c r="B15" s="55">
        <v>45978</v>
      </c>
      <c r="C15" s="28" t="s">
        <v>97</v>
      </c>
      <c r="D15" s="56" t="s">
        <v>50</v>
      </c>
      <c r="E15" s="56" t="s">
        <v>123</v>
      </c>
      <c r="F15" s="57">
        <v>9821642720</v>
      </c>
      <c r="G15" s="56" t="s">
        <v>119</v>
      </c>
      <c r="H15" s="28" t="s">
        <v>24</v>
      </c>
      <c r="I15" s="32"/>
      <c r="J15" s="28"/>
      <c r="K15" s="33"/>
      <c r="L15" s="66"/>
      <c r="M15" s="28"/>
      <c r="N15" s="62"/>
      <c r="O15" s="28">
        <v>1</v>
      </c>
      <c r="P15" s="28" t="s">
        <v>126</v>
      </c>
      <c r="Q15" s="28" t="s">
        <v>24</v>
      </c>
      <c r="R15" s="34" t="s">
        <v>124</v>
      </c>
      <c r="S15" s="54"/>
    </row>
    <row r="16" spans="1:19 16379:16381" s="35" customFormat="1" x14ac:dyDescent="0.25">
      <c r="A16" s="28">
        <v>15</v>
      </c>
      <c r="B16" s="33">
        <v>45981</v>
      </c>
      <c r="C16" s="28" t="s">
        <v>97</v>
      </c>
      <c r="D16" s="28" t="s">
        <v>50</v>
      </c>
      <c r="E16" s="28" t="s">
        <v>156</v>
      </c>
      <c r="F16" s="36">
        <v>9311255077</v>
      </c>
      <c r="G16" s="28" t="s">
        <v>157</v>
      </c>
      <c r="H16" s="28" t="s">
        <v>122</v>
      </c>
      <c r="I16" s="33">
        <v>45982</v>
      </c>
      <c r="J16" s="28" t="s">
        <v>151</v>
      </c>
      <c r="K16" s="33">
        <v>45988</v>
      </c>
      <c r="L16" s="66">
        <v>700000</v>
      </c>
      <c r="M16" s="28" t="s">
        <v>130</v>
      </c>
      <c r="N16" s="62" t="s">
        <v>158</v>
      </c>
      <c r="O16" s="28">
        <v>1</v>
      </c>
      <c r="P16" s="28" t="s">
        <v>126</v>
      </c>
      <c r="Q16" s="28" t="s">
        <v>131</v>
      </c>
      <c r="R16" s="34"/>
      <c r="S16" s="54"/>
    </row>
    <row r="17" spans="1:19" s="35" customFormat="1" x14ac:dyDescent="0.25">
      <c r="A17" s="28">
        <v>16</v>
      </c>
      <c r="B17" s="33">
        <v>45981</v>
      </c>
      <c r="C17" s="28" t="s">
        <v>97</v>
      </c>
      <c r="D17" s="28" t="s">
        <v>30</v>
      </c>
      <c r="E17" s="28" t="s">
        <v>153</v>
      </c>
      <c r="F17" s="36">
        <v>9810122491</v>
      </c>
      <c r="G17" s="28" t="s">
        <v>154</v>
      </c>
      <c r="H17" s="28" t="s">
        <v>122</v>
      </c>
      <c r="I17" s="33">
        <v>45982</v>
      </c>
      <c r="J17" s="28" t="s">
        <v>151</v>
      </c>
      <c r="K17" s="33">
        <v>45986</v>
      </c>
      <c r="L17" s="66">
        <v>250000</v>
      </c>
      <c r="M17" s="28" t="s">
        <v>130</v>
      </c>
      <c r="N17" s="62" t="s">
        <v>155</v>
      </c>
      <c r="O17" s="28">
        <v>1</v>
      </c>
      <c r="P17" s="28" t="s">
        <v>126</v>
      </c>
      <c r="Q17" s="28" t="s">
        <v>131</v>
      </c>
      <c r="R17" s="34"/>
      <c r="S17" s="54"/>
    </row>
    <row r="18" spans="1:19" s="35" customFormat="1" x14ac:dyDescent="0.25">
      <c r="A18" s="28">
        <v>17</v>
      </c>
      <c r="B18" s="33">
        <v>45981</v>
      </c>
      <c r="C18" s="28" t="s">
        <v>97</v>
      </c>
      <c r="D18" s="28" t="s">
        <v>30</v>
      </c>
      <c r="E18" s="28" t="s">
        <v>149</v>
      </c>
      <c r="F18" s="36">
        <v>8700377325</v>
      </c>
      <c r="G18" s="28" t="s">
        <v>150</v>
      </c>
      <c r="H18" s="28" t="s">
        <v>24</v>
      </c>
      <c r="I18" s="33">
        <v>45982</v>
      </c>
      <c r="J18" s="28" t="s">
        <v>151</v>
      </c>
      <c r="K18" s="33"/>
      <c r="L18" s="66">
        <v>600000</v>
      </c>
      <c r="M18" s="28" t="s">
        <v>130</v>
      </c>
      <c r="N18" s="62" t="s">
        <v>152</v>
      </c>
      <c r="O18" s="28">
        <v>1</v>
      </c>
      <c r="P18" s="28" t="s">
        <v>126</v>
      </c>
      <c r="Q18" s="28" t="s">
        <v>24</v>
      </c>
      <c r="R18" s="34" t="s">
        <v>124</v>
      </c>
      <c r="S18" s="54"/>
    </row>
    <row r="19" spans="1:19" s="35" customFormat="1" x14ac:dyDescent="0.25">
      <c r="A19" s="28">
        <v>18</v>
      </c>
      <c r="B19" s="33">
        <v>45982</v>
      </c>
      <c r="C19" s="28" t="s">
        <v>97</v>
      </c>
      <c r="D19" s="56" t="s">
        <v>50</v>
      </c>
      <c r="E19" s="28" t="s">
        <v>160</v>
      </c>
      <c r="F19" s="36" t="s">
        <v>161</v>
      </c>
      <c r="G19" s="28" t="s">
        <v>159</v>
      </c>
      <c r="H19" s="28" t="s">
        <v>162</v>
      </c>
      <c r="I19" s="33">
        <v>45983</v>
      </c>
      <c r="J19" s="28" t="s">
        <v>163</v>
      </c>
      <c r="K19" s="33">
        <v>45983</v>
      </c>
      <c r="L19" s="66">
        <v>600000</v>
      </c>
      <c r="M19" s="28" t="s">
        <v>130</v>
      </c>
      <c r="N19" s="62" t="s">
        <v>152</v>
      </c>
      <c r="O19" s="28">
        <v>1</v>
      </c>
      <c r="P19" s="28" t="s">
        <v>126</v>
      </c>
      <c r="Q19" s="34" t="s">
        <v>164</v>
      </c>
      <c r="S19" s="54"/>
    </row>
    <row r="20" spans="1:19" s="35" customFormat="1" x14ac:dyDescent="0.25">
      <c r="A20" s="28">
        <v>19</v>
      </c>
      <c r="B20" s="33">
        <v>45982</v>
      </c>
      <c r="C20" s="28" t="s">
        <v>97</v>
      </c>
      <c r="D20" s="56" t="s">
        <v>50</v>
      </c>
      <c r="E20" s="28" t="s">
        <v>165</v>
      </c>
      <c r="F20" s="36" t="s">
        <v>166</v>
      </c>
      <c r="G20" s="28" t="s">
        <v>167</v>
      </c>
      <c r="H20" s="28" t="s">
        <v>122</v>
      </c>
      <c r="I20" s="33">
        <v>45989</v>
      </c>
      <c r="J20" s="28" t="s">
        <v>151</v>
      </c>
      <c r="K20" s="33">
        <v>45996</v>
      </c>
      <c r="L20" s="66">
        <v>800000</v>
      </c>
      <c r="M20" s="28" t="s">
        <v>128</v>
      </c>
      <c r="N20" s="62" t="s">
        <v>152</v>
      </c>
      <c r="O20" s="28">
        <v>1</v>
      </c>
      <c r="P20" s="28" t="s">
        <v>126</v>
      </c>
      <c r="Q20" s="34" t="s">
        <v>131</v>
      </c>
      <c r="S20" s="54" t="s">
        <v>168</v>
      </c>
    </row>
    <row r="21" spans="1:19" s="35" customFormat="1" x14ac:dyDescent="0.25">
      <c r="A21" s="28">
        <v>20</v>
      </c>
      <c r="B21" s="33">
        <v>45982</v>
      </c>
      <c r="C21" s="28" t="s">
        <v>97</v>
      </c>
      <c r="D21" s="56" t="s">
        <v>50</v>
      </c>
      <c r="E21" s="28" t="s">
        <v>169</v>
      </c>
      <c r="F21" s="36" t="s">
        <v>170</v>
      </c>
      <c r="G21" s="28" t="s">
        <v>171</v>
      </c>
      <c r="H21" s="28" t="s">
        <v>122</v>
      </c>
      <c r="I21" s="33">
        <v>45984</v>
      </c>
      <c r="J21" s="28" t="s">
        <v>172</v>
      </c>
      <c r="K21" s="33">
        <v>45988</v>
      </c>
      <c r="L21" s="66">
        <v>1500000</v>
      </c>
      <c r="M21" s="28" t="s">
        <v>130</v>
      </c>
      <c r="N21" s="62" t="s">
        <v>173</v>
      </c>
      <c r="O21" s="28">
        <v>1</v>
      </c>
      <c r="P21" s="28" t="s">
        <v>126</v>
      </c>
      <c r="Q21" s="34" t="s">
        <v>131</v>
      </c>
      <c r="S21" s="54" t="s">
        <v>168</v>
      </c>
    </row>
    <row r="22" spans="1:19" s="35" customFormat="1" x14ac:dyDescent="0.25">
      <c r="A22" s="28">
        <v>21</v>
      </c>
      <c r="B22" s="33">
        <v>45982</v>
      </c>
      <c r="C22" s="28" t="s">
        <v>97</v>
      </c>
      <c r="D22" s="56" t="s">
        <v>50</v>
      </c>
      <c r="E22" s="28" t="s">
        <v>177</v>
      </c>
      <c r="F22" s="36" t="s">
        <v>178</v>
      </c>
      <c r="G22" s="28" t="s">
        <v>174</v>
      </c>
      <c r="H22" s="28" t="s">
        <v>49</v>
      </c>
      <c r="I22" s="33">
        <v>45991</v>
      </c>
      <c r="J22" s="28" t="s">
        <v>179</v>
      </c>
      <c r="K22" s="33">
        <v>45658</v>
      </c>
      <c r="L22" s="66">
        <v>2000000</v>
      </c>
      <c r="M22" s="28" t="s">
        <v>25</v>
      </c>
      <c r="N22" s="62" t="s">
        <v>175</v>
      </c>
      <c r="O22" s="28">
        <v>1</v>
      </c>
      <c r="P22" s="28" t="s">
        <v>126</v>
      </c>
      <c r="Q22" s="34" t="s">
        <v>127</v>
      </c>
      <c r="S22" s="54" t="s">
        <v>176</v>
      </c>
    </row>
    <row r="23" spans="1:19" s="35" customFormat="1" x14ac:dyDescent="0.25">
      <c r="A23" s="28">
        <v>22</v>
      </c>
      <c r="B23" s="33">
        <v>45983</v>
      </c>
      <c r="C23" s="28" t="s">
        <v>97</v>
      </c>
      <c r="D23" s="28" t="s">
        <v>50</v>
      </c>
      <c r="E23" s="28" t="s">
        <v>180</v>
      </c>
      <c r="F23" s="36" t="s">
        <v>181</v>
      </c>
      <c r="G23" s="28" t="s">
        <v>182</v>
      </c>
      <c r="H23" s="28" t="s">
        <v>162</v>
      </c>
      <c r="I23" s="33">
        <v>45984</v>
      </c>
      <c r="J23" s="28" t="s">
        <v>163</v>
      </c>
      <c r="K23" s="33">
        <v>45986</v>
      </c>
      <c r="L23" s="66">
        <v>1000000</v>
      </c>
      <c r="M23" s="28" t="s">
        <v>130</v>
      </c>
      <c r="N23" s="62" t="s">
        <v>11</v>
      </c>
      <c r="O23" s="28">
        <v>1</v>
      </c>
      <c r="P23" s="28" t="s">
        <v>126</v>
      </c>
      <c r="Q23" s="34" t="s">
        <v>164</v>
      </c>
      <c r="S23" s="54" t="s">
        <v>168</v>
      </c>
    </row>
    <row r="24" spans="1:19" s="35" customFormat="1" x14ac:dyDescent="0.25">
      <c r="A24" s="28">
        <v>23</v>
      </c>
      <c r="B24" s="33">
        <v>45984</v>
      </c>
      <c r="C24" s="28" t="s">
        <v>97</v>
      </c>
      <c r="D24" s="28" t="s">
        <v>50</v>
      </c>
      <c r="E24" s="28" t="s">
        <v>191</v>
      </c>
      <c r="F24" s="36">
        <v>7835933263</v>
      </c>
      <c r="G24" s="28" t="s">
        <v>188</v>
      </c>
      <c r="H24" s="28" t="s">
        <v>122</v>
      </c>
      <c r="I24" s="33">
        <v>45986</v>
      </c>
      <c r="J24" s="28" t="s">
        <v>172</v>
      </c>
      <c r="K24" s="33">
        <v>46001</v>
      </c>
      <c r="L24" s="66">
        <v>6000000</v>
      </c>
      <c r="M24" s="28" t="s">
        <v>128</v>
      </c>
      <c r="N24" s="62" t="s">
        <v>189</v>
      </c>
      <c r="O24" s="28">
        <v>1</v>
      </c>
      <c r="P24" s="28" t="s">
        <v>126</v>
      </c>
      <c r="Q24" s="34" t="s">
        <v>131</v>
      </c>
      <c r="S24" s="54" t="s">
        <v>190</v>
      </c>
    </row>
    <row r="25" spans="1:19" s="35" customFormat="1" ht="22.5" x14ac:dyDescent="0.25">
      <c r="A25" s="28">
        <v>24</v>
      </c>
      <c r="B25" s="33">
        <v>45984</v>
      </c>
      <c r="C25" s="28" t="s">
        <v>97</v>
      </c>
      <c r="D25" s="28" t="s">
        <v>50</v>
      </c>
      <c r="E25" s="28" t="s">
        <v>192</v>
      </c>
      <c r="F25" s="36">
        <v>9873961500</v>
      </c>
      <c r="G25" s="28" t="s">
        <v>193</v>
      </c>
      <c r="H25" s="28" t="s">
        <v>24</v>
      </c>
      <c r="I25" s="33">
        <v>45986</v>
      </c>
      <c r="J25" s="28" t="s">
        <v>172</v>
      </c>
      <c r="K25" s="33">
        <v>45996</v>
      </c>
      <c r="L25" s="66">
        <v>600000</v>
      </c>
      <c r="M25" s="28" t="s">
        <v>130</v>
      </c>
      <c r="N25" s="62" t="s">
        <v>194</v>
      </c>
      <c r="O25" s="28">
        <v>1</v>
      </c>
      <c r="P25" s="28" t="s">
        <v>126</v>
      </c>
      <c r="Q25" s="34" t="s">
        <v>24</v>
      </c>
      <c r="S25" s="54" t="s">
        <v>195</v>
      </c>
    </row>
    <row r="26" spans="1:19" s="35" customFormat="1" ht="45" x14ac:dyDescent="0.25">
      <c r="A26" s="28">
        <v>25</v>
      </c>
      <c r="B26" s="33">
        <v>45984</v>
      </c>
      <c r="C26" s="28" t="s">
        <v>97</v>
      </c>
      <c r="D26" s="28" t="s">
        <v>50</v>
      </c>
      <c r="E26" s="28" t="s">
        <v>196</v>
      </c>
      <c r="F26" s="36" t="s">
        <v>197</v>
      </c>
      <c r="G26" s="28" t="s">
        <v>198</v>
      </c>
      <c r="H26" s="28" t="s">
        <v>122</v>
      </c>
      <c r="I26" s="33">
        <v>45985</v>
      </c>
      <c r="J26" s="28" t="s">
        <v>172</v>
      </c>
      <c r="K26" s="33">
        <v>45996</v>
      </c>
      <c r="L26" s="66">
        <v>500000</v>
      </c>
      <c r="M26" s="28" t="s">
        <v>130</v>
      </c>
      <c r="N26" s="62" t="s">
        <v>199</v>
      </c>
      <c r="O26" s="28">
        <v>1</v>
      </c>
      <c r="P26" s="28" t="s">
        <v>126</v>
      </c>
      <c r="Q26" s="34" t="s">
        <v>131</v>
      </c>
      <c r="S26" s="54" t="s">
        <v>200</v>
      </c>
    </row>
    <row r="27" spans="1:19" s="35" customFormat="1" ht="22.5" x14ac:dyDescent="0.25">
      <c r="A27" s="28">
        <v>26</v>
      </c>
      <c r="B27" s="33">
        <v>45984</v>
      </c>
      <c r="C27" s="28" t="s">
        <v>97</v>
      </c>
      <c r="D27" s="28" t="s">
        <v>50</v>
      </c>
      <c r="E27" s="28" t="s">
        <v>201</v>
      </c>
      <c r="F27" s="36" t="s">
        <v>202</v>
      </c>
      <c r="G27" s="28" t="s">
        <v>203</v>
      </c>
      <c r="H27" s="28" t="s">
        <v>49</v>
      </c>
      <c r="I27" s="33">
        <v>45986</v>
      </c>
      <c r="J27" s="28" t="s">
        <v>172</v>
      </c>
      <c r="K27" s="33">
        <v>46001</v>
      </c>
      <c r="L27" s="66">
        <v>500000</v>
      </c>
      <c r="M27" s="28" t="s">
        <v>130</v>
      </c>
      <c r="N27" s="62" t="s">
        <v>205</v>
      </c>
      <c r="O27" s="28">
        <v>1</v>
      </c>
      <c r="P27" s="28" t="s">
        <v>126</v>
      </c>
      <c r="Q27" s="34" t="s">
        <v>127</v>
      </c>
      <c r="S27" s="54" t="s">
        <v>204</v>
      </c>
    </row>
    <row r="28" spans="1:19" s="35" customFormat="1" ht="24.75" customHeight="1" x14ac:dyDescent="0.25">
      <c r="A28" s="28">
        <v>27</v>
      </c>
      <c r="B28" s="33">
        <v>45986</v>
      </c>
      <c r="C28" s="28" t="s">
        <v>97</v>
      </c>
      <c r="D28" s="28" t="s">
        <v>50</v>
      </c>
      <c r="E28" s="28" t="s">
        <v>206</v>
      </c>
      <c r="F28" s="36" t="s">
        <v>207</v>
      </c>
      <c r="G28" s="28" t="s">
        <v>208</v>
      </c>
      <c r="H28" s="28" t="s">
        <v>122</v>
      </c>
      <c r="I28" s="33">
        <v>45988</v>
      </c>
      <c r="J28" s="28" t="s">
        <v>172</v>
      </c>
      <c r="K28" s="33">
        <v>45991</v>
      </c>
      <c r="L28" s="66">
        <v>500000</v>
      </c>
      <c r="M28" s="28" t="s">
        <v>130</v>
      </c>
      <c r="N28" s="62" t="s">
        <v>209</v>
      </c>
      <c r="O28" s="28">
        <v>1</v>
      </c>
      <c r="P28" s="28" t="s">
        <v>126</v>
      </c>
      <c r="Q28" s="34" t="s">
        <v>131</v>
      </c>
      <c r="S28" s="54"/>
    </row>
    <row r="29" spans="1:19" s="35" customFormat="1" x14ac:dyDescent="0.25">
      <c r="A29" s="28">
        <v>28</v>
      </c>
      <c r="B29" s="33">
        <v>45986</v>
      </c>
      <c r="C29" s="28" t="s">
        <v>97</v>
      </c>
      <c r="D29" s="28" t="s">
        <v>50</v>
      </c>
      <c r="E29" s="28" t="s">
        <v>210</v>
      </c>
      <c r="F29" s="36" t="s">
        <v>211</v>
      </c>
      <c r="G29" s="28" t="s">
        <v>212</v>
      </c>
      <c r="H29" s="28" t="s">
        <v>122</v>
      </c>
      <c r="I29" s="33">
        <v>45988</v>
      </c>
      <c r="J29" s="28" t="s">
        <v>172</v>
      </c>
      <c r="K29" s="33">
        <v>46001</v>
      </c>
      <c r="L29" s="66">
        <v>800000</v>
      </c>
      <c r="M29" s="28" t="s">
        <v>128</v>
      </c>
      <c r="N29" s="62" t="s">
        <v>213</v>
      </c>
      <c r="O29" s="28">
        <v>1</v>
      </c>
      <c r="P29" s="28" t="s">
        <v>126</v>
      </c>
      <c r="Q29" s="34" t="s">
        <v>131</v>
      </c>
      <c r="S29" s="54"/>
    </row>
    <row r="30" spans="1:19" s="35" customFormat="1" x14ac:dyDescent="0.25">
      <c r="A30" s="28">
        <v>29</v>
      </c>
      <c r="B30" s="33">
        <v>45986</v>
      </c>
      <c r="C30" s="28" t="s">
        <v>97</v>
      </c>
      <c r="D30" s="28" t="s">
        <v>50</v>
      </c>
      <c r="E30" s="28" t="s">
        <v>214</v>
      </c>
      <c r="F30" s="36" t="s">
        <v>215</v>
      </c>
      <c r="G30" s="28" t="s">
        <v>216</v>
      </c>
      <c r="H30" s="28" t="s">
        <v>49</v>
      </c>
      <c r="I30" s="33">
        <v>45989</v>
      </c>
      <c r="J30" s="28" t="s">
        <v>172</v>
      </c>
      <c r="K30" s="33">
        <v>46011</v>
      </c>
      <c r="L30" s="66">
        <v>1000000</v>
      </c>
      <c r="M30" s="28" t="s">
        <v>128</v>
      </c>
      <c r="N30" s="62" t="s">
        <v>213</v>
      </c>
      <c r="O30" s="28">
        <v>1</v>
      </c>
      <c r="P30" s="28" t="s">
        <v>126</v>
      </c>
      <c r="Q30" s="34" t="s">
        <v>127</v>
      </c>
      <c r="S30" s="54" t="s">
        <v>217</v>
      </c>
    </row>
    <row r="31" spans="1:19" s="35" customFormat="1" x14ac:dyDescent="0.25">
      <c r="A31" s="28">
        <v>30</v>
      </c>
      <c r="B31" s="33">
        <v>45986</v>
      </c>
      <c r="C31" s="28" t="s">
        <v>97</v>
      </c>
      <c r="D31" s="28" t="s">
        <v>50</v>
      </c>
      <c r="E31" s="28" t="s">
        <v>218</v>
      </c>
      <c r="F31" s="36" t="s">
        <v>219</v>
      </c>
      <c r="G31" s="28" t="s">
        <v>220</v>
      </c>
      <c r="H31" s="28" t="s">
        <v>122</v>
      </c>
      <c r="I31" s="33">
        <v>45988</v>
      </c>
      <c r="J31" s="28" t="s">
        <v>172</v>
      </c>
      <c r="K31" s="33">
        <v>45991</v>
      </c>
      <c r="L31" s="66">
        <v>500000</v>
      </c>
      <c r="M31" s="28" t="s">
        <v>130</v>
      </c>
      <c r="N31" s="62" t="s">
        <v>221</v>
      </c>
      <c r="O31" s="28">
        <v>1</v>
      </c>
      <c r="P31" s="28" t="s">
        <v>126</v>
      </c>
      <c r="Q31" s="34" t="s">
        <v>131</v>
      </c>
      <c r="S31" s="54" t="s">
        <v>222</v>
      </c>
    </row>
    <row r="32" spans="1:19" s="35" customFormat="1" x14ac:dyDescent="0.25">
      <c r="A32" s="28">
        <v>31</v>
      </c>
      <c r="B32" s="33">
        <v>45986</v>
      </c>
      <c r="C32" s="28" t="s">
        <v>97</v>
      </c>
      <c r="D32" s="28" t="s">
        <v>50</v>
      </c>
      <c r="E32" s="28" t="s">
        <v>223</v>
      </c>
      <c r="F32" s="36" t="s">
        <v>224</v>
      </c>
      <c r="G32" s="28" t="s">
        <v>225</v>
      </c>
      <c r="H32" s="28" t="s">
        <v>49</v>
      </c>
      <c r="I32" s="33">
        <v>45988</v>
      </c>
      <c r="J32" s="28" t="s">
        <v>226</v>
      </c>
      <c r="K32" s="33">
        <v>46001</v>
      </c>
      <c r="L32" s="66">
        <v>1000000</v>
      </c>
      <c r="M32" s="28" t="s">
        <v>130</v>
      </c>
      <c r="N32" s="62" t="s">
        <v>227</v>
      </c>
      <c r="O32" s="28">
        <v>1</v>
      </c>
      <c r="P32" s="28" t="s">
        <v>126</v>
      </c>
      <c r="Q32" s="34" t="s">
        <v>127</v>
      </c>
      <c r="S32" s="54"/>
    </row>
    <row r="33" spans="1:19" s="35" customFormat="1" x14ac:dyDescent="0.25">
      <c r="A33" s="28">
        <v>32</v>
      </c>
      <c r="B33" s="33">
        <v>45988</v>
      </c>
      <c r="C33" s="28" t="s">
        <v>97</v>
      </c>
      <c r="D33" s="28" t="s">
        <v>50</v>
      </c>
      <c r="E33" s="28" t="s">
        <v>239</v>
      </c>
      <c r="F33" s="36" t="s">
        <v>240</v>
      </c>
      <c r="G33" s="28" t="s">
        <v>241</v>
      </c>
      <c r="H33" s="28" t="s">
        <v>122</v>
      </c>
      <c r="I33" s="33">
        <v>45995</v>
      </c>
      <c r="J33" s="28" t="s">
        <v>243</v>
      </c>
      <c r="K33" s="33">
        <v>46006</v>
      </c>
      <c r="L33" s="66">
        <v>2000000</v>
      </c>
      <c r="M33" s="28" t="s">
        <v>130</v>
      </c>
      <c r="N33" s="62" t="s">
        <v>227</v>
      </c>
      <c r="O33" s="28">
        <v>1</v>
      </c>
      <c r="P33" s="28" t="s">
        <v>126</v>
      </c>
      <c r="Q33" s="34" t="s">
        <v>131</v>
      </c>
      <c r="S33" s="54" t="s">
        <v>250</v>
      </c>
    </row>
    <row r="34" spans="1:19" s="35" customFormat="1" x14ac:dyDescent="0.25">
      <c r="A34" s="28">
        <v>33</v>
      </c>
      <c r="B34" s="33">
        <v>45988</v>
      </c>
      <c r="C34" s="28" t="s">
        <v>97</v>
      </c>
      <c r="D34" s="28" t="s">
        <v>50</v>
      </c>
      <c r="E34" s="28" t="s">
        <v>229</v>
      </c>
      <c r="F34" s="36" t="s">
        <v>230</v>
      </c>
      <c r="G34" s="28" t="s">
        <v>231</v>
      </c>
      <c r="H34" s="28" t="s">
        <v>24</v>
      </c>
      <c r="I34" s="33"/>
      <c r="J34" s="28"/>
      <c r="K34" s="33"/>
      <c r="L34" s="66">
        <v>2500000</v>
      </c>
      <c r="M34" s="28" t="s">
        <v>128</v>
      </c>
      <c r="N34" s="62" t="s">
        <v>232</v>
      </c>
      <c r="O34" s="28">
        <v>2</v>
      </c>
      <c r="P34" s="28" t="s">
        <v>233</v>
      </c>
      <c r="Q34" s="34" t="s">
        <v>24</v>
      </c>
      <c r="R34" s="35" t="s">
        <v>234</v>
      </c>
      <c r="S34" s="54"/>
    </row>
    <row r="35" spans="1:19" s="35" customFormat="1" ht="33.75" x14ac:dyDescent="0.25">
      <c r="A35" s="28">
        <v>34</v>
      </c>
      <c r="B35" s="33">
        <v>45988</v>
      </c>
      <c r="C35" s="28" t="s">
        <v>97</v>
      </c>
      <c r="D35" s="28" t="s">
        <v>50</v>
      </c>
      <c r="E35" s="62" t="s">
        <v>235</v>
      </c>
      <c r="F35" s="36" t="s">
        <v>236</v>
      </c>
      <c r="G35" s="28" t="s">
        <v>237</v>
      </c>
      <c r="H35" s="28" t="s">
        <v>238</v>
      </c>
      <c r="I35" s="33">
        <v>45989</v>
      </c>
      <c r="J35" s="28" t="s">
        <v>242</v>
      </c>
      <c r="K35" s="33">
        <v>45989</v>
      </c>
      <c r="L35" s="66">
        <v>450000</v>
      </c>
      <c r="M35" s="28" t="s">
        <v>130</v>
      </c>
      <c r="N35" s="62" t="s">
        <v>227</v>
      </c>
      <c r="O35" s="28">
        <v>1</v>
      </c>
      <c r="P35" s="28" t="s">
        <v>126</v>
      </c>
      <c r="Q35" s="34" t="s">
        <v>238</v>
      </c>
      <c r="S35" s="54"/>
    </row>
    <row r="36" spans="1:19" s="35" customFormat="1" x14ac:dyDescent="0.25">
      <c r="A36" s="28">
        <v>36</v>
      </c>
      <c r="B36" s="33">
        <v>45989</v>
      </c>
      <c r="C36" s="28" t="s">
        <v>97</v>
      </c>
      <c r="D36" s="28" t="s">
        <v>244</v>
      </c>
      <c r="E36" s="28" t="s">
        <v>245</v>
      </c>
      <c r="F36" s="36">
        <v>9855423608</v>
      </c>
      <c r="G36" s="28" t="s">
        <v>246</v>
      </c>
      <c r="H36" s="28" t="s">
        <v>122</v>
      </c>
      <c r="I36" s="33">
        <v>45995</v>
      </c>
      <c r="J36" s="28" t="s">
        <v>247</v>
      </c>
      <c r="K36" s="33">
        <v>46001</v>
      </c>
      <c r="L36" s="66">
        <v>1500000</v>
      </c>
      <c r="M36" s="28" t="s">
        <v>128</v>
      </c>
      <c r="N36" s="28" t="s">
        <v>248</v>
      </c>
      <c r="O36" s="28">
        <v>0</v>
      </c>
      <c r="P36" s="28" t="s">
        <v>126</v>
      </c>
      <c r="Q36" s="34" t="s">
        <v>131</v>
      </c>
      <c r="S36" s="54" t="s">
        <v>249</v>
      </c>
    </row>
    <row r="37" spans="1:19" s="35" customFormat="1" ht="33.75" x14ac:dyDescent="0.25">
      <c r="A37" s="28">
        <v>37</v>
      </c>
      <c r="B37" s="33">
        <v>45989</v>
      </c>
      <c r="C37" s="28" t="s">
        <v>97</v>
      </c>
      <c r="D37" s="28" t="s">
        <v>50</v>
      </c>
      <c r="E37" s="62" t="s">
        <v>235</v>
      </c>
      <c r="F37" s="36" t="s">
        <v>236</v>
      </c>
      <c r="G37" s="28" t="s">
        <v>237</v>
      </c>
      <c r="H37" s="28" t="s">
        <v>238</v>
      </c>
      <c r="I37" s="33">
        <v>45990</v>
      </c>
      <c r="J37" s="28" t="s">
        <v>242</v>
      </c>
      <c r="K37" s="33">
        <v>45990</v>
      </c>
      <c r="L37" s="66">
        <v>450000</v>
      </c>
      <c r="M37" s="28" t="s">
        <v>130</v>
      </c>
      <c r="N37" s="62" t="s">
        <v>227</v>
      </c>
      <c r="O37" s="28">
        <v>2</v>
      </c>
      <c r="P37" s="28" t="s">
        <v>126</v>
      </c>
      <c r="Q37" s="34" t="s">
        <v>238</v>
      </c>
      <c r="S37" s="54" t="s">
        <v>251</v>
      </c>
    </row>
    <row r="38" spans="1:19" s="35" customFormat="1" x14ac:dyDescent="0.25">
      <c r="A38" s="28">
        <v>38</v>
      </c>
      <c r="B38" s="33">
        <v>45990</v>
      </c>
      <c r="C38" s="28" t="s">
        <v>97</v>
      </c>
      <c r="D38" s="28" t="s">
        <v>50</v>
      </c>
      <c r="E38" s="28" t="s">
        <v>252</v>
      </c>
      <c r="F38" s="36">
        <v>9810286436</v>
      </c>
      <c r="G38" s="28" t="s">
        <v>253</v>
      </c>
      <c r="H38" s="28" t="s">
        <v>122</v>
      </c>
      <c r="I38" s="33">
        <v>45995</v>
      </c>
      <c r="J38" s="28" t="s">
        <v>247</v>
      </c>
      <c r="K38" s="33">
        <v>46001</v>
      </c>
      <c r="L38" s="66">
        <v>2500000</v>
      </c>
      <c r="M38" s="28" t="s">
        <v>130</v>
      </c>
      <c r="N38" s="62" t="s">
        <v>227</v>
      </c>
      <c r="O38" s="28">
        <v>1</v>
      </c>
      <c r="P38" s="28" t="s">
        <v>126</v>
      </c>
      <c r="Q38" s="28" t="s">
        <v>131</v>
      </c>
      <c r="R38" s="34"/>
      <c r="S38" s="54" t="s">
        <v>264</v>
      </c>
    </row>
    <row r="39" spans="1:19" s="35" customFormat="1" x14ac:dyDescent="0.25">
      <c r="A39" s="28">
        <v>39</v>
      </c>
      <c r="B39" s="33">
        <v>45990</v>
      </c>
      <c r="C39" s="28" t="s">
        <v>97</v>
      </c>
      <c r="D39" s="28" t="s">
        <v>50</v>
      </c>
      <c r="E39" s="28" t="s">
        <v>255</v>
      </c>
      <c r="F39" s="36" t="s">
        <v>256</v>
      </c>
      <c r="G39" s="28" t="s">
        <v>257</v>
      </c>
      <c r="H39" s="28" t="s">
        <v>122</v>
      </c>
      <c r="I39" s="33">
        <v>45996</v>
      </c>
      <c r="J39" s="28" t="s">
        <v>247</v>
      </c>
      <c r="K39" s="33">
        <v>46006</v>
      </c>
      <c r="L39" s="66">
        <v>1000000</v>
      </c>
      <c r="M39" s="28" t="s">
        <v>128</v>
      </c>
      <c r="N39" s="28" t="s">
        <v>227</v>
      </c>
      <c r="O39" s="28">
        <v>1</v>
      </c>
      <c r="P39" s="28" t="s">
        <v>126</v>
      </c>
      <c r="Q39" s="28" t="s">
        <v>131</v>
      </c>
      <c r="R39" s="34"/>
      <c r="S39" s="54"/>
    </row>
    <row r="40" spans="1:19" s="35" customFormat="1" x14ac:dyDescent="0.25">
      <c r="A40" s="28">
        <v>40</v>
      </c>
      <c r="B40" s="33">
        <v>45990</v>
      </c>
      <c r="C40" s="28" t="s">
        <v>97</v>
      </c>
      <c r="D40" s="28" t="s">
        <v>50</v>
      </c>
      <c r="E40" s="28" t="s">
        <v>259</v>
      </c>
      <c r="F40" s="36" t="s">
        <v>260</v>
      </c>
      <c r="G40" s="28" t="s">
        <v>258</v>
      </c>
      <c r="H40" s="28" t="s">
        <v>122</v>
      </c>
      <c r="I40" s="33">
        <v>45996</v>
      </c>
      <c r="J40" s="28" t="s">
        <v>247</v>
      </c>
      <c r="K40" s="33">
        <v>46006</v>
      </c>
      <c r="L40" s="66">
        <v>700000</v>
      </c>
      <c r="M40" s="28" t="s">
        <v>130</v>
      </c>
      <c r="N40" s="62" t="s">
        <v>227</v>
      </c>
      <c r="O40" s="28">
        <v>1</v>
      </c>
      <c r="P40" s="28" t="s">
        <v>126</v>
      </c>
      <c r="Q40" s="28" t="s">
        <v>131</v>
      </c>
      <c r="R40" s="34"/>
      <c r="S40" s="54" t="s">
        <v>168</v>
      </c>
    </row>
    <row r="41" spans="1:19" s="35" customFormat="1" x14ac:dyDescent="0.25">
      <c r="A41" s="28">
        <v>41</v>
      </c>
      <c r="B41" s="33">
        <v>45991</v>
      </c>
      <c r="C41" s="28" t="s">
        <v>97</v>
      </c>
      <c r="D41" s="28" t="s">
        <v>50</v>
      </c>
      <c r="E41" s="28" t="s">
        <v>261</v>
      </c>
      <c r="F41" s="36" t="s">
        <v>262</v>
      </c>
      <c r="G41" s="28" t="s">
        <v>263</v>
      </c>
      <c r="H41" s="28" t="s">
        <v>49</v>
      </c>
      <c r="I41" s="33">
        <v>45996</v>
      </c>
      <c r="J41" s="28" t="s">
        <v>247</v>
      </c>
      <c r="K41" s="33">
        <v>46017</v>
      </c>
      <c r="L41" s="66">
        <v>700000</v>
      </c>
      <c r="M41" s="28" t="s">
        <v>128</v>
      </c>
      <c r="N41" s="28" t="s">
        <v>254</v>
      </c>
      <c r="O41" s="28">
        <v>1</v>
      </c>
      <c r="P41" s="28" t="s">
        <v>126</v>
      </c>
      <c r="Q41" s="28" t="s">
        <v>127</v>
      </c>
      <c r="R41" s="34"/>
      <c r="S41" s="54"/>
    </row>
    <row r="42" spans="1:19" s="35" customFormat="1" ht="22.5" x14ac:dyDescent="0.25">
      <c r="A42" s="28">
        <v>42</v>
      </c>
      <c r="B42" s="33">
        <v>45991</v>
      </c>
      <c r="C42" s="28" t="s">
        <v>97</v>
      </c>
      <c r="D42" s="28" t="s">
        <v>50</v>
      </c>
      <c r="E42" s="34" t="s">
        <v>265</v>
      </c>
      <c r="F42" s="36" t="s">
        <v>266</v>
      </c>
      <c r="G42" s="28" t="s">
        <v>267</v>
      </c>
      <c r="H42" s="28" t="s">
        <v>122</v>
      </c>
      <c r="I42" s="33">
        <v>45995</v>
      </c>
      <c r="J42" s="28" t="s">
        <v>247</v>
      </c>
      <c r="K42" s="33">
        <v>46001</v>
      </c>
      <c r="L42" s="66">
        <v>1000000</v>
      </c>
      <c r="M42" s="28" t="s">
        <v>130</v>
      </c>
      <c r="N42" s="62" t="s">
        <v>248</v>
      </c>
      <c r="O42" s="28">
        <v>1</v>
      </c>
      <c r="P42" s="28" t="s">
        <v>126</v>
      </c>
      <c r="Q42" s="28" t="s">
        <v>131</v>
      </c>
      <c r="R42" s="34"/>
      <c r="S42" s="54" t="s">
        <v>268</v>
      </c>
    </row>
    <row r="43" spans="1:19" s="35" customFormat="1" x14ac:dyDescent="0.25">
      <c r="A43" s="28">
        <v>43</v>
      </c>
      <c r="B43" s="33">
        <v>45992</v>
      </c>
      <c r="C43" s="28" t="s">
        <v>97</v>
      </c>
      <c r="D43" s="28" t="s">
        <v>50</v>
      </c>
      <c r="E43" s="28" t="s">
        <v>50</v>
      </c>
      <c r="F43" s="36">
        <v>9711048360</v>
      </c>
      <c r="G43" s="28" t="s">
        <v>269</v>
      </c>
      <c r="H43" s="28" t="s">
        <v>122</v>
      </c>
      <c r="I43" s="33">
        <v>45995</v>
      </c>
      <c r="J43" s="28" t="s">
        <v>270</v>
      </c>
      <c r="K43" s="33">
        <v>46011</v>
      </c>
      <c r="L43" s="66">
        <v>600000</v>
      </c>
      <c r="M43" s="28" t="s">
        <v>130</v>
      </c>
      <c r="N43" s="28" t="s">
        <v>152</v>
      </c>
      <c r="O43" s="28">
        <v>0</v>
      </c>
      <c r="P43" s="28" t="s">
        <v>126</v>
      </c>
      <c r="Q43" s="28" t="s">
        <v>131</v>
      </c>
      <c r="R43" s="34"/>
      <c r="S43" s="54" t="s">
        <v>271</v>
      </c>
    </row>
    <row r="44" spans="1:19" s="35" customFormat="1" x14ac:dyDescent="0.25">
      <c r="A44" s="28">
        <v>44</v>
      </c>
      <c r="B44" s="33">
        <v>45992</v>
      </c>
      <c r="C44" s="28" t="s">
        <v>97</v>
      </c>
      <c r="D44" s="28" t="s">
        <v>272</v>
      </c>
      <c r="E44" s="28" t="s">
        <v>273</v>
      </c>
      <c r="F44" s="36"/>
      <c r="G44" s="28" t="s">
        <v>274</v>
      </c>
      <c r="H44" s="28" t="s">
        <v>122</v>
      </c>
      <c r="I44" s="33">
        <v>45995</v>
      </c>
      <c r="J44" s="28" t="s">
        <v>275</v>
      </c>
      <c r="K44" s="33">
        <v>46006</v>
      </c>
      <c r="L44" s="66">
        <v>800000</v>
      </c>
      <c r="M44" s="28" t="s">
        <v>130</v>
      </c>
      <c r="N44" s="62" t="s">
        <v>11</v>
      </c>
      <c r="O44" s="28">
        <v>0</v>
      </c>
      <c r="P44" s="28" t="s">
        <v>126</v>
      </c>
      <c r="Q44" s="28" t="s">
        <v>131</v>
      </c>
      <c r="R44" s="34"/>
      <c r="S44" s="54" t="s">
        <v>249</v>
      </c>
    </row>
    <row r="45" spans="1:19" s="35" customFormat="1" x14ac:dyDescent="0.25">
      <c r="A45" s="28">
        <v>45</v>
      </c>
      <c r="B45" s="74">
        <v>45992</v>
      </c>
      <c r="C45" s="28" t="s">
        <v>97</v>
      </c>
      <c r="D45" s="28" t="s">
        <v>244</v>
      </c>
      <c r="E45" s="28" t="s">
        <v>244</v>
      </c>
      <c r="F45" s="36">
        <v>9891051118</v>
      </c>
      <c r="G45" s="28" t="s">
        <v>276</v>
      </c>
      <c r="H45" s="28" t="s">
        <v>122</v>
      </c>
      <c r="I45" s="33">
        <v>45995</v>
      </c>
      <c r="J45" s="28" t="s">
        <v>270</v>
      </c>
      <c r="K45" s="33">
        <v>46006</v>
      </c>
      <c r="L45" s="66">
        <v>8000000</v>
      </c>
      <c r="M45" s="28" t="s">
        <v>130</v>
      </c>
      <c r="N45" s="62" t="s">
        <v>11</v>
      </c>
      <c r="O45" s="28">
        <v>0</v>
      </c>
      <c r="P45" s="28" t="s">
        <v>126</v>
      </c>
      <c r="Q45" s="28" t="s">
        <v>131</v>
      </c>
      <c r="R45" s="34"/>
      <c r="S45" s="54" t="s">
        <v>271</v>
      </c>
    </row>
    <row r="46" spans="1:19" s="35" customFormat="1" x14ac:dyDescent="0.25">
      <c r="A46" s="28">
        <v>46</v>
      </c>
      <c r="B46" s="33"/>
      <c r="C46" s="28"/>
      <c r="D46" s="28"/>
      <c r="E46" s="28"/>
      <c r="F46" s="36"/>
      <c r="G46" s="28"/>
      <c r="H46" s="28"/>
      <c r="I46" s="33"/>
      <c r="J46" s="28"/>
      <c r="K46" s="33"/>
      <c r="L46" s="66"/>
      <c r="M46" s="28"/>
      <c r="N46" s="62"/>
      <c r="O46" s="28"/>
      <c r="P46" s="28"/>
      <c r="Q46" s="28"/>
      <c r="R46" s="34"/>
      <c r="S46" s="54"/>
    </row>
    <row r="47" spans="1:19" s="35" customFormat="1" x14ac:dyDescent="0.25">
      <c r="A47" s="28">
        <v>47</v>
      </c>
      <c r="B47" s="33"/>
      <c r="C47" s="28"/>
      <c r="D47" s="28"/>
      <c r="E47" s="28"/>
      <c r="F47" s="36"/>
      <c r="G47" s="28"/>
      <c r="H47" s="28"/>
      <c r="I47" s="33"/>
      <c r="J47" s="28"/>
      <c r="K47" s="33"/>
      <c r="L47" s="66"/>
      <c r="M47" s="28"/>
      <c r="N47" s="62"/>
      <c r="O47" s="28"/>
      <c r="P47" s="28"/>
      <c r="Q47" s="28"/>
      <c r="R47" s="34"/>
      <c r="S47" s="54"/>
    </row>
    <row r="48" spans="1:19" s="35" customFormat="1" x14ac:dyDescent="0.25">
      <c r="A48" s="28">
        <v>48</v>
      </c>
      <c r="B48" s="33"/>
      <c r="C48" s="28"/>
      <c r="D48" s="28"/>
      <c r="E48" s="28"/>
      <c r="F48" s="36"/>
      <c r="G48" s="28"/>
      <c r="H48" s="28"/>
      <c r="I48" s="33"/>
      <c r="J48" s="28"/>
      <c r="K48" s="33"/>
      <c r="L48" s="66"/>
      <c r="M48" s="28"/>
      <c r="N48" s="62"/>
      <c r="O48" s="28"/>
      <c r="P48" s="28"/>
      <c r="Q48" s="28"/>
      <c r="R48" s="34"/>
      <c r="S48" s="54"/>
    </row>
    <row r="49" spans="1:19" s="35" customFormat="1" x14ac:dyDescent="0.25">
      <c r="A49" s="28">
        <v>49</v>
      </c>
      <c r="B49" s="33"/>
      <c r="C49" s="28"/>
      <c r="D49" s="28"/>
      <c r="E49" s="28"/>
      <c r="F49" s="36"/>
      <c r="G49" s="28"/>
      <c r="H49" s="28"/>
      <c r="I49" s="33"/>
      <c r="J49" s="28"/>
      <c r="K49" s="33"/>
      <c r="L49" s="66"/>
      <c r="M49" s="28"/>
      <c r="N49" s="62"/>
      <c r="O49" s="28"/>
      <c r="P49" s="28"/>
      <c r="Q49" s="28"/>
      <c r="R49" s="34"/>
      <c r="S49" s="54"/>
    </row>
    <row r="50" spans="1:19" s="35" customFormat="1" x14ac:dyDescent="0.25">
      <c r="A50" s="28">
        <v>50</v>
      </c>
      <c r="B50" s="33"/>
      <c r="C50" s="28"/>
      <c r="D50" s="28"/>
      <c r="E50" s="28"/>
      <c r="F50" s="36"/>
      <c r="G50" s="28"/>
      <c r="H50" s="28"/>
      <c r="I50" s="33"/>
      <c r="J50" s="38"/>
      <c r="K50" s="33"/>
      <c r="L50" s="66"/>
      <c r="M50" s="28"/>
      <c r="N50" s="62"/>
      <c r="O50" s="28"/>
      <c r="P50" s="28"/>
      <c r="Q50" s="28"/>
      <c r="R50" s="34"/>
      <c r="S50" s="54"/>
    </row>
    <row r="51" spans="1:19" s="35" customFormat="1" x14ac:dyDescent="0.25">
      <c r="A51" s="28">
        <v>51</v>
      </c>
      <c r="B51" s="33"/>
      <c r="C51" s="28"/>
      <c r="D51" s="28"/>
      <c r="E51" s="28"/>
      <c r="F51" s="36"/>
      <c r="G51" s="28"/>
      <c r="H51" s="28"/>
      <c r="I51" s="33"/>
      <c r="J51" s="38"/>
      <c r="K51" s="33"/>
      <c r="L51" s="66"/>
      <c r="M51" s="28"/>
      <c r="N51" s="62"/>
      <c r="O51" s="28"/>
      <c r="P51" s="28"/>
      <c r="Q51" s="28"/>
      <c r="R51" s="34"/>
      <c r="S51" s="54"/>
    </row>
    <row r="52" spans="1:19" s="35" customFormat="1" x14ac:dyDescent="0.25">
      <c r="A52" s="28">
        <v>52</v>
      </c>
      <c r="B52" s="33"/>
      <c r="C52" s="28"/>
      <c r="D52" s="28"/>
      <c r="E52" s="28"/>
      <c r="F52" s="36"/>
      <c r="G52" s="28"/>
      <c r="H52" s="28"/>
      <c r="I52" s="33"/>
      <c r="J52" s="28"/>
      <c r="K52" s="33"/>
      <c r="L52" s="66"/>
      <c r="M52" s="28"/>
      <c r="N52" s="62"/>
      <c r="O52" s="28"/>
      <c r="P52" s="28"/>
      <c r="Q52" s="28"/>
      <c r="R52" s="34"/>
      <c r="S52" s="54"/>
    </row>
    <row r="53" spans="1:19" s="35" customFormat="1" x14ac:dyDescent="0.25">
      <c r="A53" s="28">
        <v>53</v>
      </c>
      <c r="B53" s="33"/>
      <c r="C53" s="28"/>
      <c r="D53" s="28"/>
      <c r="E53" s="28"/>
      <c r="F53" s="36"/>
      <c r="G53" s="28"/>
      <c r="H53" s="28"/>
      <c r="I53" s="33"/>
      <c r="J53" s="28"/>
      <c r="K53" s="33"/>
      <c r="L53" s="66"/>
      <c r="M53" s="28"/>
      <c r="N53" s="62"/>
      <c r="O53" s="28"/>
      <c r="P53" s="28"/>
      <c r="Q53" s="28"/>
      <c r="R53" s="34"/>
      <c r="S53" s="54"/>
    </row>
    <row r="54" spans="1:19" s="35" customFormat="1" x14ac:dyDescent="0.25">
      <c r="A54" s="28">
        <v>54</v>
      </c>
      <c r="B54" s="33"/>
      <c r="C54" s="28"/>
      <c r="D54" s="28"/>
      <c r="E54" s="28"/>
      <c r="F54" s="36"/>
      <c r="G54" s="28"/>
      <c r="H54" s="28"/>
      <c r="I54" s="33"/>
      <c r="J54" s="28"/>
      <c r="K54" s="33"/>
      <c r="L54" s="66"/>
      <c r="M54" s="28"/>
      <c r="N54" s="62"/>
      <c r="O54" s="28"/>
      <c r="P54" s="28"/>
      <c r="Q54" s="28"/>
      <c r="R54" s="34"/>
      <c r="S54" s="54"/>
    </row>
    <row r="55" spans="1:19" s="35" customFormat="1" x14ac:dyDescent="0.25">
      <c r="A55" s="28">
        <v>55</v>
      </c>
      <c r="B55" s="33"/>
      <c r="C55" s="28"/>
      <c r="D55" s="28"/>
      <c r="E55" s="28"/>
      <c r="F55" s="36"/>
      <c r="G55" s="28"/>
      <c r="H55" s="28"/>
      <c r="I55" s="33"/>
      <c r="J55" s="28"/>
      <c r="K55" s="33"/>
      <c r="L55" s="66"/>
      <c r="M55" s="28"/>
      <c r="N55" s="62"/>
      <c r="O55" s="28"/>
      <c r="P55" s="28"/>
      <c r="Q55" s="28"/>
      <c r="R55" s="34"/>
      <c r="S55" s="54"/>
    </row>
    <row r="56" spans="1:19" s="35" customFormat="1" x14ac:dyDescent="0.25">
      <c r="A56" s="28">
        <v>56</v>
      </c>
      <c r="B56" s="33"/>
      <c r="C56" s="28"/>
      <c r="D56" s="28"/>
      <c r="E56" s="28"/>
      <c r="F56" s="36"/>
      <c r="G56" s="28"/>
      <c r="H56" s="28"/>
      <c r="I56" s="33"/>
      <c r="J56" s="28"/>
      <c r="K56" s="33"/>
      <c r="L56" s="66"/>
      <c r="M56" s="28"/>
      <c r="N56" s="62"/>
      <c r="O56" s="28"/>
      <c r="P56" s="28"/>
      <c r="Q56" s="28"/>
      <c r="R56" s="34"/>
      <c r="S56" s="54"/>
    </row>
    <row r="57" spans="1:19" s="35" customFormat="1" x14ac:dyDescent="0.25">
      <c r="A57" s="28">
        <v>57</v>
      </c>
      <c r="B57" s="33"/>
      <c r="C57" s="28"/>
      <c r="D57" s="28"/>
      <c r="E57" s="28"/>
      <c r="F57" s="36"/>
      <c r="G57" s="28"/>
      <c r="H57" s="28"/>
      <c r="I57" s="33"/>
      <c r="J57" s="28"/>
      <c r="K57" s="33"/>
      <c r="L57" s="66"/>
      <c r="M57" s="28"/>
      <c r="N57" s="62"/>
      <c r="O57" s="28"/>
      <c r="P57" s="28"/>
      <c r="Q57" s="28"/>
      <c r="R57" s="34"/>
      <c r="S57" s="54"/>
    </row>
    <row r="58" spans="1:19" s="35" customFormat="1" x14ac:dyDescent="0.25">
      <c r="A58" s="28">
        <v>58</v>
      </c>
      <c r="B58" s="33"/>
      <c r="C58" s="28"/>
      <c r="D58" s="28"/>
      <c r="E58" s="28"/>
      <c r="F58" s="36"/>
      <c r="G58" s="28"/>
      <c r="H58" s="28"/>
      <c r="I58" s="33"/>
      <c r="J58" s="28"/>
      <c r="K58" s="33"/>
      <c r="L58" s="66"/>
      <c r="M58" s="28"/>
      <c r="N58" s="62"/>
      <c r="O58" s="28"/>
      <c r="P58" s="28"/>
      <c r="Q58" s="28"/>
      <c r="R58" s="34"/>
      <c r="S58" s="54"/>
    </row>
    <row r="59" spans="1:19" s="35" customFormat="1" x14ac:dyDescent="0.25">
      <c r="A59" s="28">
        <v>59</v>
      </c>
      <c r="B59" s="33"/>
      <c r="C59" s="28"/>
      <c r="D59" s="28"/>
      <c r="E59" s="28"/>
      <c r="F59" s="36"/>
      <c r="G59" s="28"/>
      <c r="H59" s="28"/>
      <c r="I59" s="33"/>
      <c r="J59" s="28"/>
      <c r="K59" s="33"/>
      <c r="L59" s="66"/>
      <c r="M59" s="28"/>
      <c r="N59" s="62"/>
      <c r="O59" s="28"/>
      <c r="P59" s="28"/>
      <c r="Q59" s="28"/>
      <c r="R59" s="34"/>
      <c r="S59" s="54"/>
    </row>
    <row r="60" spans="1:19" s="35" customFormat="1" x14ac:dyDescent="0.25">
      <c r="A60" s="28">
        <v>60</v>
      </c>
      <c r="B60" s="33"/>
      <c r="C60" s="28"/>
      <c r="D60" s="28"/>
      <c r="E60" s="28"/>
      <c r="F60" s="36"/>
      <c r="G60" s="28"/>
      <c r="H60" s="28"/>
      <c r="I60" s="33"/>
      <c r="J60" s="28"/>
      <c r="K60" s="33"/>
      <c r="L60" s="66"/>
      <c r="M60" s="28"/>
      <c r="N60" s="62"/>
      <c r="O60" s="28"/>
      <c r="P60" s="28"/>
      <c r="Q60" s="28"/>
      <c r="R60" s="34"/>
      <c r="S60" s="54"/>
    </row>
    <row r="61" spans="1:19" x14ac:dyDescent="0.25">
      <c r="A61" s="28">
        <v>61</v>
      </c>
      <c r="B61" s="33"/>
      <c r="D61" s="28"/>
      <c r="E61" s="28"/>
      <c r="F61" s="36"/>
      <c r="G61" s="28"/>
      <c r="H61" s="28"/>
      <c r="I61" s="33"/>
      <c r="J61" s="28"/>
      <c r="K61" s="33"/>
      <c r="L61" s="66"/>
      <c r="M61" s="28"/>
      <c r="N61" s="62"/>
      <c r="O61" s="28"/>
      <c r="P61" s="28"/>
      <c r="Q61" s="28"/>
    </row>
    <row r="62" spans="1:19" x14ac:dyDescent="0.25">
      <c r="A62" s="28">
        <v>62</v>
      </c>
      <c r="B62" s="33"/>
      <c r="F62" s="36"/>
      <c r="G62" s="28"/>
      <c r="H62" s="28"/>
      <c r="I62" s="33"/>
      <c r="J62" s="28"/>
      <c r="K62" s="33"/>
      <c r="N62" s="62"/>
      <c r="Q62" s="28"/>
    </row>
    <row r="63" spans="1:19" x14ac:dyDescent="0.25">
      <c r="A63" s="28">
        <v>63</v>
      </c>
      <c r="B63" s="33"/>
      <c r="F63" s="36"/>
      <c r="G63" s="28"/>
      <c r="H63" s="28"/>
      <c r="I63" s="33"/>
      <c r="J63" s="28"/>
      <c r="K63" s="33"/>
      <c r="N63" s="62"/>
      <c r="O63" s="28"/>
      <c r="Q63" s="28"/>
    </row>
    <row r="64" spans="1:19" x14ac:dyDescent="0.25">
      <c r="A64" s="28">
        <v>64</v>
      </c>
      <c r="B64" s="33"/>
      <c r="F64" s="36"/>
      <c r="G64" s="28"/>
      <c r="H64" s="28"/>
      <c r="I64" s="33"/>
      <c r="J64" s="28"/>
      <c r="K64" s="33"/>
      <c r="N64" s="62"/>
      <c r="O64" s="28"/>
      <c r="Q64" s="28"/>
    </row>
    <row r="65" spans="1:19" x14ac:dyDescent="0.25">
      <c r="A65" s="28">
        <v>65</v>
      </c>
      <c r="B65" s="33"/>
      <c r="F65" s="36"/>
      <c r="G65" s="28"/>
      <c r="H65" s="28"/>
      <c r="I65" s="33"/>
      <c r="J65" s="28"/>
      <c r="K65" s="33"/>
      <c r="M65" s="28"/>
      <c r="N65" s="62"/>
      <c r="O65" s="28"/>
      <c r="P65" s="28"/>
      <c r="Q65" s="28"/>
    </row>
    <row r="66" spans="1:19" x14ac:dyDescent="0.25">
      <c r="A66" s="28">
        <v>66</v>
      </c>
      <c r="B66" s="33"/>
      <c r="F66" s="36"/>
      <c r="G66" s="28"/>
      <c r="H66" s="28"/>
      <c r="I66" s="33"/>
      <c r="J66" s="28"/>
      <c r="K66" s="33"/>
      <c r="N66" s="62"/>
      <c r="O66" s="28"/>
      <c r="Q66" s="28"/>
    </row>
    <row r="67" spans="1:19" x14ac:dyDescent="0.25">
      <c r="A67" s="28"/>
      <c r="B67" s="33"/>
      <c r="F67" s="36"/>
      <c r="G67" s="28"/>
      <c r="H67" s="28"/>
      <c r="I67" s="33"/>
      <c r="J67" s="28"/>
      <c r="K67" s="33"/>
      <c r="N67" s="62"/>
      <c r="O67" s="28"/>
      <c r="Q67" s="28"/>
    </row>
    <row r="68" spans="1:19" x14ac:dyDescent="0.25">
      <c r="A68" s="28"/>
      <c r="B68" s="33"/>
      <c r="F68" s="36"/>
      <c r="G68" s="28"/>
      <c r="H68" s="28"/>
      <c r="I68" s="33"/>
      <c r="J68" s="28"/>
      <c r="K68" s="33"/>
      <c r="N68" s="62"/>
      <c r="O68" s="28"/>
      <c r="Q68" s="28"/>
    </row>
    <row r="69" spans="1:19" x14ac:dyDescent="0.25">
      <c r="A69" s="28"/>
      <c r="B69" s="33"/>
      <c r="F69" s="36"/>
      <c r="G69" s="28"/>
      <c r="H69" s="28"/>
      <c r="I69" s="33"/>
      <c r="J69" s="28"/>
      <c r="K69" s="33"/>
      <c r="N69" s="62"/>
      <c r="O69" s="28"/>
      <c r="Q69" s="28"/>
    </row>
    <row r="70" spans="1:19" x14ac:dyDescent="0.25">
      <c r="A70" s="28"/>
      <c r="B70" s="33"/>
      <c r="F70" s="36"/>
      <c r="G70" s="28"/>
      <c r="H70" s="28"/>
      <c r="I70" s="33"/>
      <c r="J70" s="28"/>
      <c r="K70" s="33"/>
      <c r="N70" s="62"/>
      <c r="O70" s="28"/>
      <c r="Q70" s="28"/>
    </row>
    <row r="71" spans="1:19" s="39" customFormat="1" x14ac:dyDescent="0.25">
      <c r="A71" s="28"/>
      <c r="B71" s="33"/>
      <c r="C71" s="28"/>
      <c r="D71" s="34"/>
      <c r="E71" s="34"/>
      <c r="F71" s="36"/>
      <c r="G71" s="28"/>
      <c r="H71" s="28"/>
      <c r="I71" s="33"/>
      <c r="J71" s="28"/>
      <c r="K71" s="33"/>
      <c r="L71" s="67"/>
      <c r="M71" s="34"/>
      <c r="N71" s="62"/>
      <c r="O71" s="28"/>
      <c r="P71" s="34"/>
      <c r="Q71" s="28"/>
      <c r="R71" s="34"/>
      <c r="S71" s="40"/>
    </row>
    <row r="72" spans="1:19" x14ac:dyDescent="0.25">
      <c r="A72" s="28"/>
      <c r="B72" s="33"/>
      <c r="F72" s="36"/>
      <c r="G72" s="39"/>
      <c r="H72" s="28"/>
      <c r="I72" s="33"/>
      <c r="J72" s="28"/>
      <c r="K72" s="33"/>
      <c r="L72" s="68"/>
      <c r="M72" s="39"/>
      <c r="N72" s="62"/>
      <c r="O72" s="39"/>
      <c r="P72" s="39"/>
      <c r="Q72" s="28"/>
      <c r="R72" s="39"/>
    </row>
    <row r="73" spans="1:19" x14ac:dyDescent="0.25">
      <c r="A73" s="28"/>
      <c r="B73" s="33"/>
      <c r="F73" s="36"/>
      <c r="G73" s="28"/>
      <c r="H73" s="28"/>
      <c r="I73" s="33"/>
      <c r="J73" s="28"/>
      <c r="K73" s="33"/>
      <c r="N73" s="62"/>
      <c r="O73" s="28"/>
      <c r="Q73" s="28"/>
    </row>
    <row r="74" spans="1:19" x14ac:dyDescent="0.25">
      <c r="A74" s="28"/>
      <c r="B74" s="33"/>
      <c r="F74" s="36"/>
      <c r="G74" s="28"/>
      <c r="H74" s="28"/>
      <c r="I74" s="33"/>
      <c r="J74" s="28"/>
      <c r="K74" s="33"/>
      <c r="N74" s="62"/>
      <c r="O74" s="28"/>
      <c r="Q74" s="28"/>
    </row>
    <row r="75" spans="1:19" x14ac:dyDescent="0.25">
      <c r="A75" s="28"/>
      <c r="B75" s="33"/>
      <c r="F75" s="36"/>
      <c r="G75" s="28"/>
      <c r="H75" s="28"/>
      <c r="I75" s="33"/>
      <c r="J75" s="28"/>
      <c r="K75" s="33"/>
      <c r="N75" s="62"/>
      <c r="O75" s="28"/>
      <c r="Q75" s="28"/>
    </row>
    <row r="76" spans="1:19" x14ac:dyDescent="0.25">
      <c r="A76" s="28"/>
      <c r="B76" s="33"/>
      <c r="F76" s="36"/>
      <c r="G76" s="28"/>
      <c r="H76" s="28"/>
      <c r="I76" s="33"/>
      <c r="J76" s="28"/>
      <c r="K76" s="33"/>
      <c r="N76" s="62"/>
      <c r="O76" s="28"/>
      <c r="Q76" s="28"/>
    </row>
    <row r="77" spans="1:19" x14ac:dyDescent="0.25">
      <c r="A77" s="28"/>
      <c r="B77" s="33"/>
      <c r="F77" s="36"/>
      <c r="G77" s="28"/>
      <c r="H77" s="28"/>
      <c r="I77" s="33"/>
      <c r="J77" s="28"/>
      <c r="K77" s="33"/>
      <c r="N77" s="62"/>
      <c r="O77" s="28"/>
      <c r="Q77" s="28"/>
    </row>
    <row r="78" spans="1:19" x14ac:dyDescent="0.25">
      <c r="A78" s="28"/>
      <c r="B78" s="33"/>
      <c r="D78" s="28"/>
      <c r="F78" s="36"/>
      <c r="G78" s="28"/>
      <c r="H78" s="28"/>
      <c r="I78" s="33"/>
      <c r="J78" s="28"/>
      <c r="K78" s="33"/>
      <c r="M78" s="28"/>
      <c r="N78" s="62"/>
      <c r="O78" s="28"/>
      <c r="P78" s="28"/>
      <c r="Q78" s="28"/>
    </row>
    <row r="79" spans="1:19" x14ac:dyDescent="0.25">
      <c r="A79" s="28"/>
      <c r="B79" s="33"/>
      <c r="D79" s="28"/>
      <c r="F79" s="36"/>
      <c r="G79" s="28"/>
      <c r="H79" s="28"/>
      <c r="I79" s="33"/>
      <c r="J79" s="28"/>
      <c r="K79" s="33"/>
      <c r="N79" s="62"/>
      <c r="O79" s="28"/>
      <c r="Q79" s="28"/>
    </row>
    <row r="80" spans="1:19" x14ac:dyDescent="0.25">
      <c r="A80" s="28"/>
      <c r="B80" s="33"/>
      <c r="D80" s="28"/>
      <c r="F80" s="36"/>
      <c r="G80" s="28"/>
      <c r="H80" s="28"/>
      <c r="I80" s="33"/>
      <c r="J80" s="28"/>
      <c r="K80" s="33"/>
      <c r="N80" s="62"/>
      <c r="O80" s="28"/>
      <c r="Q80" s="28"/>
    </row>
    <row r="81" spans="1:19" x14ac:dyDescent="0.25">
      <c r="A81" s="28"/>
      <c r="B81" s="33"/>
      <c r="D81" s="28"/>
      <c r="F81" s="36"/>
      <c r="G81" s="28"/>
      <c r="H81" s="28"/>
      <c r="I81" s="33"/>
      <c r="J81" s="28"/>
      <c r="K81" s="33"/>
      <c r="N81" s="62"/>
      <c r="O81" s="28"/>
      <c r="Q81" s="28"/>
    </row>
    <row r="82" spans="1:19" x14ac:dyDescent="0.25">
      <c r="A82" s="28"/>
      <c r="B82" s="33"/>
      <c r="D82" s="28"/>
      <c r="F82" s="36"/>
      <c r="G82" s="28"/>
      <c r="H82" s="28"/>
      <c r="I82" s="33"/>
      <c r="J82" s="28"/>
      <c r="K82" s="33"/>
      <c r="N82" s="62"/>
      <c r="O82" s="28"/>
      <c r="Q82" s="28"/>
    </row>
    <row r="83" spans="1:19" x14ac:dyDescent="0.25">
      <c r="A83" s="28"/>
      <c r="B83" s="33"/>
      <c r="D83" s="28"/>
      <c r="F83" s="36"/>
      <c r="G83" s="28"/>
      <c r="H83" s="28"/>
      <c r="I83" s="33"/>
      <c r="J83" s="28"/>
      <c r="K83" s="33"/>
      <c r="N83" s="62"/>
      <c r="O83" s="28"/>
      <c r="Q83" s="28"/>
    </row>
    <row r="84" spans="1:19" x14ac:dyDescent="0.25">
      <c r="A84" s="28"/>
      <c r="B84" s="33"/>
      <c r="D84" s="28"/>
      <c r="F84" s="36"/>
      <c r="G84" s="39"/>
      <c r="H84" s="28"/>
      <c r="I84" s="33"/>
      <c r="J84" s="28"/>
      <c r="K84" s="33"/>
      <c r="N84" s="62"/>
      <c r="O84" s="28"/>
      <c r="Q84" s="28"/>
    </row>
    <row r="85" spans="1:19" x14ac:dyDescent="0.25">
      <c r="A85" s="28"/>
      <c r="B85" s="33"/>
      <c r="D85" s="28"/>
      <c r="F85" s="36"/>
      <c r="G85" s="39"/>
      <c r="H85" s="28"/>
      <c r="I85" s="33"/>
      <c r="J85" s="28"/>
      <c r="K85" s="33"/>
      <c r="N85" s="62"/>
      <c r="O85" s="28"/>
      <c r="Q85" s="28"/>
    </row>
    <row r="86" spans="1:19" x14ac:dyDescent="0.25">
      <c r="A86" s="28"/>
      <c r="B86" s="33"/>
      <c r="D86" s="28"/>
      <c r="F86" s="36"/>
      <c r="G86" s="40"/>
      <c r="H86" s="28"/>
      <c r="I86" s="33"/>
      <c r="J86" s="28"/>
      <c r="K86" s="33"/>
      <c r="N86" s="62"/>
      <c r="O86" s="28"/>
      <c r="Q86" s="28"/>
    </row>
    <row r="87" spans="1:19" x14ac:dyDescent="0.25">
      <c r="A87" s="28"/>
      <c r="B87" s="33"/>
      <c r="D87" s="28"/>
      <c r="F87" s="36"/>
      <c r="G87" s="28"/>
      <c r="H87" s="28"/>
      <c r="I87" s="33"/>
      <c r="J87" s="28"/>
      <c r="K87" s="33"/>
      <c r="N87" s="62"/>
      <c r="O87" s="28"/>
      <c r="Q87" s="28"/>
    </row>
    <row r="88" spans="1:19" x14ac:dyDescent="0.25">
      <c r="A88" s="28"/>
      <c r="B88" s="33"/>
      <c r="D88" s="28"/>
      <c r="F88" s="36"/>
      <c r="G88" s="40"/>
      <c r="H88" s="28"/>
      <c r="I88" s="33"/>
      <c r="J88" s="28"/>
      <c r="K88" s="33"/>
      <c r="N88" s="62"/>
      <c r="O88" s="28"/>
      <c r="Q88" s="28"/>
    </row>
    <row r="89" spans="1:19" s="35" customFormat="1" x14ac:dyDescent="0.25">
      <c r="A89" s="28"/>
      <c r="B89" s="33"/>
      <c r="C89" s="28"/>
      <c r="D89" s="28"/>
      <c r="E89" s="34"/>
      <c r="F89" s="36"/>
      <c r="G89" s="28"/>
      <c r="H89" s="28"/>
      <c r="I89" s="33"/>
      <c r="J89" s="28"/>
      <c r="K89" s="33"/>
      <c r="L89" s="67"/>
      <c r="M89" s="34"/>
      <c r="N89" s="62"/>
      <c r="O89" s="28"/>
      <c r="P89" s="34"/>
      <c r="Q89" s="28"/>
      <c r="R89" s="34"/>
      <c r="S89" s="54"/>
    </row>
    <row r="90" spans="1:19" s="35" customFormat="1" x14ac:dyDescent="0.25">
      <c r="A90" s="28"/>
      <c r="B90" s="33"/>
      <c r="C90" s="28"/>
      <c r="D90" s="28"/>
      <c r="E90" s="34"/>
      <c r="F90" s="36"/>
      <c r="G90" s="28"/>
      <c r="H90" s="28"/>
      <c r="I90" s="33"/>
      <c r="J90" s="28"/>
      <c r="K90" s="33"/>
      <c r="L90" s="66"/>
      <c r="M90" s="28"/>
      <c r="N90" s="62"/>
      <c r="O90" s="28"/>
      <c r="P90" s="28"/>
      <c r="Q90" s="28"/>
      <c r="R90" s="34"/>
      <c r="S90" s="54"/>
    </row>
    <row r="91" spans="1:19" s="35" customFormat="1" x14ac:dyDescent="0.25">
      <c r="A91" s="28"/>
      <c r="B91" s="33"/>
      <c r="C91" s="28"/>
      <c r="D91" s="34"/>
      <c r="E91" s="34"/>
      <c r="F91" s="36"/>
      <c r="G91" s="28"/>
      <c r="H91" s="28"/>
      <c r="I91" s="33"/>
      <c r="J91" s="28"/>
      <c r="K91" s="33"/>
      <c r="L91" s="66"/>
      <c r="M91" s="28"/>
      <c r="N91" s="62"/>
      <c r="O91" s="28"/>
      <c r="P91" s="28"/>
      <c r="Q91" s="28"/>
      <c r="R91" s="34"/>
      <c r="S91" s="54"/>
    </row>
    <row r="92" spans="1:19" s="35" customFormat="1" x14ac:dyDescent="0.25">
      <c r="A92" s="28"/>
      <c r="B92" s="33"/>
      <c r="C92" s="28"/>
      <c r="D92" s="28"/>
      <c r="E92" s="34"/>
      <c r="F92" s="36"/>
      <c r="G92" s="28"/>
      <c r="H92" s="28"/>
      <c r="I92" s="33"/>
      <c r="J92" s="28"/>
      <c r="K92" s="33"/>
      <c r="L92" s="67"/>
      <c r="M92" s="34"/>
      <c r="N92" s="62"/>
      <c r="O92" s="28"/>
      <c r="P92" s="34"/>
      <c r="Q92" s="28"/>
      <c r="R92" s="34"/>
      <c r="S92" s="54"/>
    </row>
    <row r="93" spans="1:19" x14ac:dyDescent="0.25">
      <c r="A93" s="28"/>
      <c r="B93" s="33"/>
      <c r="D93" s="28"/>
      <c r="F93" s="36"/>
      <c r="G93" s="28"/>
      <c r="H93" s="28"/>
      <c r="I93" s="33"/>
      <c r="J93" s="28"/>
      <c r="K93" s="33"/>
      <c r="L93" s="66"/>
      <c r="M93" s="28"/>
      <c r="N93" s="62"/>
      <c r="O93" s="28"/>
      <c r="P93" s="28"/>
      <c r="Q93" s="28"/>
    </row>
    <row r="94" spans="1:19" x14ac:dyDescent="0.25">
      <c r="A94" s="28"/>
      <c r="B94" s="33"/>
      <c r="D94" s="28"/>
      <c r="F94" s="36"/>
      <c r="G94" s="41"/>
      <c r="H94" s="28"/>
      <c r="I94" s="33"/>
      <c r="J94" s="28"/>
      <c r="K94" s="33"/>
      <c r="M94" s="28"/>
      <c r="O94" s="28"/>
      <c r="P94" s="28"/>
      <c r="Q94" s="28"/>
    </row>
    <row r="95" spans="1:19" x14ac:dyDescent="0.25">
      <c r="A95" s="28"/>
      <c r="B95" s="33"/>
      <c r="D95" s="40"/>
      <c r="F95" s="36"/>
      <c r="G95" s="40"/>
      <c r="H95" s="28"/>
      <c r="I95" s="33"/>
      <c r="J95" s="28"/>
      <c r="Q95" s="28"/>
    </row>
    <row r="96" spans="1:19" x14ac:dyDescent="0.25">
      <c r="A96" s="28"/>
      <c r="B96" s="33"/>
      <c r="F96" s="36"/>
      <c r="H96" s="28"/>
      <c r="I96" s="33"/>
      <c r="J96" s="28"/>
      <c r="Q96" s="28"/>
    </row>
    <row r="97" spans="1:17" x14ac:dyDescent="0.25">
      <c r="A97" s="28"/>
      <c r="B97" s="33"/>
      <c r="F97" s="36"/>
      <c r="H97" s="28"/>
      <c r="I97" s="33"/>
      <c r="J97" s="28"/>
      <c r="K97" s="33"/>
      <c r="Q97" s="28"/>
    </row>
    <row r="98" spans="1:17" x14ac:dyDescent="0.25">
      <c r="A98" s="28"/>
      <c r="B98" s="33"/>
      <c r="F98" s="36"/>
      <c r="H98" s="28"/>
      <c r="I98" s="33"/>
      <c r="J98" s="28"/>
      <c r="K98" s="33"/>
      <c r="Q98" s="28"/>
    </row>
    <row r="99" spans="1:17" x14ac:dyDescent="0.25">
      <c r="A99" s="28"/>
      <c r="B99" s="33"/>
      <c r="F99" s="36"/>
      <c r="H99" s="28"/>
      <c r="I99" s="33"/>
      <c r="J99" s="28"/>
      <c r="K99" s="33"/>
      <c r="Q99" s="28"/>
    </row>
    <row r="100" spans="1:17" x14ac:dyDescent="0.25">
      <c r="A100" s="28"/>
      <c r="B100" s="33"/>
      <c r="F100" s="36"/>
      <c r="G100" s="28"/>
      <c r="H100" s="28"/>
      <c r="I100" s="33"/>
      <c r="J100" s="28"/>
      <c r="K100" s="33"/>
    </row>
    <row r="101" spans="1:17" x14ac:dyDescent="0.25">
      <c r="A101" s="28"/>
      <c r="B101" s="33"/>
      <c r="D101" s="39"/>
      <c r="F101" s="36"/>
      <c r="G101" s="41"/>
      <c r="H101" s="28"/>
      <c r="I101" s="33"/>
      <c r="J101" s="28"/>
      <c r="K101" s="33"/>
    </row>
    <row r="102" spans="1:17" x14ac:dyDescent="0.25">
      <c r="A102" s="28"/>
      <c r="B102" s="33"/>
      <c r="D102" s="39"/>
      <c r="F102" s="36"/>
      <c r="G102" s="41"/>
      <c r="H102" s="28"/>
      <c r="I102" s="33"/>
      <c r="J102" s="28"/>
      <c r="K102" s="33"/>
    </row>
    <row r="103" spans="1:17" x14ac:dyDescent="0.25">
      <c r="A103" s="28"/>
      <c r="B103" s="33"/>
      <c r="D103" s="40"/>
      <c r="F103" s="36"/>
      <c r="G103" s="40"/>
      <c r="H103" s="28"/>
      <c r="I103" s="33"/>
      <c r="J103" s="28"/>
      <c r="K103" s="33"/>
      <c r="Q103" s="28"/>
    </row>
    <row r="104" spans="1:17" x14ac:dyDescent="0.25">
      <c r="A104" s="28"/>
      <c r="B104" s="33"/>
      <c r="F104" s="36"/>
      <c r="G104" s="46"/>
      <c r="H104" s="28"/>
      <c r="I104" s="33"/>
      <c r="J104" s="28"/>
      <c r="K104" s="33"/>
    </row>
    <row r="105" spans="1:17" x14ac:dyDescent="0.25">
      <c r="A105" s="28"/>
      <c r="B105" s="33"/>
      <c r="F105" s="36"/>
      <c r="G105" s="39"/>
      <c r="H105" s="28"/>
      <c r="I105" s="33"/>
      <c r="J105" s="28"/>
      <c r="Q105" s="28"/>
    </row>
    <row r="106" spans="1:17" x14ac:dyDescent="0.25">
      <c r="A106" s="28"/>
      <c r="B106" s="33"/>
      <c r="D106" s="28"/>
      <c r="F106" s="36"/>
      <c r="G106" s="28"/>
      <c r="H106" s="28"/>
      <c r="I106" s="33"/>
      <c r="J106" s="28"/>
      <c r="K106" s="33"/>
      <c r="Q106" s="28"/>
    </row>
    <row r="107" spans="1:17" x14ac:dyDescent="0.25">
      <c r="A107" s="28"/>
      <c r="B107" s="33"/>
      <c r="F107" s="36"/>
      <c r="G107" s="28"/>
      <c r="H107" s="28"/>
      <c r="I107" s="33"/>
      <c r="J107" s="28"/>
      <c r="K107" s="33"/>
      <c r="Q107" s="28"/>
    </row>
    <row r="108" spans="1:17" x14ac:dyDescent="0.25">
      <c r="A108" s="28"/>
      <c r="B108" s="33"/>
      <c r="D108" s="28"/>
      <c r="F108" s="36"/>
      <c r="G108" s="41"/>
      <c r="H108" s="28"/>
      <c r="I108" s="33"/>
      <c r="J108" s="28"/>
      <c r="K108" s="33"/>
      <c r="Q108" s="28"/>
    </row>
    <row r="109" spans="1:17" x14ac:dyDescent="0.25">
      <c r="A109" s="28"/>
      <c r="B109" s="33"/>
      <c r="D109" s="28"/>
      <c r="F109" s="36"/>
      <c r="G109" s="41"/>
      <c r="H109" s="28"/>
      <c r="I109" s="33"/>
      <c r="J109" s="28"/>
      <c r="K109" s="33"/>
      <c r="Q109" s="28"/>
    </row>
    <row r="110" spans="1:17" x14ac:dyDescent="0.25">
      <c r="A110" s="28"/>
      <c r="B110" s="33"/>
      <c r="D110" s="28"/>
      <c r="F110" s="36"/>
      <c r="G110" s="41"/>
      <c r="H110" s="28"/>
      <c r="I110" s="33"/>
      <c r="J110" s="28"/>
      <c r="Q110" s="28"/>
    </row>
    <row r="111" spans="1:17" x14ac:dyDescent="0.25">
      <c r="A111" s="28"/>
      <c r="B111" s="33"/>
      <c r="F111" s="36"/>
      <c r="G111" s="41"/>
      <c r="H111" s="28"/>
      <c r="I111" s="33"/>
      <c r="J111" s="28"/>
      <c r="K111" s="33"/>
    </row>
    <row r="112" spans="1:17" x14ac:dyDescent="0.25">
      <c r="A112" s="28"/>
      <c r="B112" s="33"/>
      <c r="F112" s="36"/>
      <c r="G112" s="41"/>
      <c r="H112" s="28"/>
      <c r="I112" s="33"/>
      <c r="J112" s="28"/>
      <c r="K112" s="33"/>
    </row>
    <row r="113" spans="1:17" x14ac:dyDescent="0.25">
      <c r="A113" s="28"/>
      <c r="B113" s="33"/>
      <c r="D113" s="41"/>
      <c r="F113" s="36"/>
      <c r="G113" s="41"/>
      <c r="H113" s="28"/>
      <c r="I113" s="33"/>
      <c r="J113" s="28"/>
      <c r="K113" s="33"/>
    </row>
    <row r="114" spans="1:17" x14ac:dyDescent="0.25">
      <c r="A114" s="28"/>
      <c r="B114" s="33"/>
      <c r="F114" s="36"/>
      <c r="G114" s="41"/>
      <c r="H114" s="28"/>
      <c r="I114" s="33"/>
      <c r="J114" s="28"/>
      <c r="K114" s="33"/>
    </row>
    <row r="115" spans="1:17" x14ac:dyDescent="0.25">
      <c r="A115" s="28"/>
      <c r="B115" s="33"/>
      <c r="D115" s="39"/>
      <c r="F115" s="36"/>
      <c r="G115" s="41"/>
      <c r="H115" s="28"/>
      <c r="I115" s="33"/>
      <c r="J115" s="28"/>
      <c r="K115" s="33"/>
      <c r="Q115" s="28"/>
    </row>
    <row r="116" spans="1:17" x14ac:dyDescent="0.25">
      <c r="A116" s="28"/>
      <c r="B116" s="33"/>
      <c r="F116" s="36"/>
      <c r="G116" s="41"/>
      <c r="H116" s="28"/>
      <c r="I116" s="33"/>
      <c r="J116" s="28"/>
      <c r="K116" s="33"/>
      <c r="Q116" s="28"/>
    </row>
    <row r="117" spans="1:17" x14ac:dyDescent="0.25">
      <c r="A117" s="28"/>
      <c r="B117" s="33"/>
      <c r="F117" s="36"/>
      <c r="G117" s="41"/>
      <c r="I117" s="33"/>
    </row>
    <row r="118" spans="1:17" x14ac:dyDescent="0.25">
      <c r="A118" s="28"/>
      <c r="B118" s="33"/>
      <c r="F118" s="36"/>
      <c r="G118" s="41"/>
      <c r="H118" s="28"/>
      <c r="I118" s="33"/>
      <c r="J118" s="28"/>
      <c r="K118" s="33"/>
    </row>
    <row r="119" spans="1:17" x14ac:dyDescent="0.25">
      <c r="A119" s="28"/>
      <c r="B119" s="33"/>
      <c r="F119" s="36"/>
      <c r="G119" s="41"/>
      <c r="H119" s="28"/>
      <c r="I119" s="33"/>
      <c r="J119" s="28"/>
      <c r="K119" s="33"/>
      <c r="Q119" s="28"/>
    </row>
    <row r="120" spans="1:17" x14ac:dyDescent="0.25">
      <c r="A120" s="28"/>
      <c r="B120" s="33"/>
      <c r="F120" s="36"/>
      <c r="G120" s="41"/>
      <c r="H120" s="28"/>
      <c r="I120" s="33"/>
      <c r="J120" s="28"/>
      <c r="K120" s="33"/>
    </row>
    <row r="121" spans="1:17" x14ac:dyDescent="0.25">
      <c r="A121" s="28"/>
      <c r="B121" s="33"/>
      <c r="F121" s="36"/>
      <c r="G121" s="41"/>
      <c r="H121" s="28"/>
      <c r="I121" s="33"/>
      <c r="J121" s="28"/>
      <c r="K121" s="33"/>
    </row>
    <row r="122" spans="1:17" x14ac:dyDescent="0.25">
      <c r="A122" s="28"/>
      <c r="B122" s="33"/>
      <c r="F122" s="36"/>
      <c r="G122" s="41"/>
      <c r="H122" s="28"/>
      <c r="I122" s="33"/>
      <c r="J122" s="28"/>
      <c r="K122" s="33"/>
    </row>
    <row r="123" spans="1:17" x14ac:dyDescent="0.25">
      <c r="A123" s="28"/>
      <c r="B123" s="33"/>
      <c r="F123" s="36"/>
      <c r="G123" s="41"/>
      <c r="H123" s="28"/>
      <c r="I123" s="33"/>
      <c r="J123" s="28"/>
      <c r="K123" s="33"/>
      <c r="Q123" s="28"/>
    </row>
    <row r="124" spans="1:17" x14ac:dyDescent="0.25">
      <c r="A124" s="28"/>
      <c r="B124" s="33"/>
      <c r="F124" s="36"/>
      <c r="G124" s="41"/>
      <c r="H124" s="28"/>
      <c r="I124" s="33"/>
      <c r="J124" s="28"/>
      <c r="K124" s="33"/>
    </row>
    <row r="125" spans="1:17" x14ac:dyDescent="0.25">
      <c r="A125" s="28"/>
      <c r="B125" s="33"/>
      <c r="F125" s="36"/>
      <c r="G125" s="41"/>
      <c r="H125" s="28"/>
      <c r="I125" s="33"/>
      <c r="J125" s="28"/>
      <c r="K125" s="33"/>
    </row>
    <row r="126" spans="1:17" x14ac:dyDescent="0.25">
      <c r="A126" s="28"/>
      <c r="B126" s="33"/>
      <c r="F126" s="36"/>
      <c r="G126" s="41"/>
      <c r="H126" s="28"/>
      <c r="I126" s="33"/>
      <c r="J126" s="28"/>
      <c r="K126" s="33"/>
    </row>
    <row r="127" spans="1:17" x14ac:dyDescent="0.25">
      <c r="A127" s="28"/>
      <c r="B127" s="33"/>
      <c r="F127" s="36"/>
      <c r="G127" s="41"/>
      <c r="H127" s="28"/>
      <c r="I127" s="33"/>
      <c r="J127" s="28"/>
      <c r="K127" s="33"/>
    </row>
    <row r="128" spans="1:17" x14ac:dyDescent="0.25">
      <c r="A128" s="28"/>
      <c r="B128" s="33"/>
      <c r="F128" s="36"/>
      <c r="G128" s="41"/>
      <c r="H128" s="28"/>
      <c r="I128" s="33"/>
      <c r="J128" s="28"/>
      <c r="K128" s="33"/>
      <c r="Q128" s="28"/>
    </row>
    <row r="129" spans="1:17" x14ac:dyDescent="0.25">
      <c r="A129" s="28"/>
      <c r="B129" s="33"/>
      <c r="F129" s="36"/>
      <c r="G129" s="41"/>
      <c r="H129" s="28"/>
      <c r="I129" s="33"/>
      <c r="J129" s="28"/>
      <c r="K129" s="33"/>
    </row>
    <row r="130" spans="1:17" x14ac:dyDescent="0.25">
      <c r="A130" s="28"/>
      <c r="B130" s="33"/>
      <c r="F130" s="36"/>
      <c r="G130" s="41"/>
      <c r="H130" s="28"/>
      <c r="I130" s="33"/>
      <c r="J130" s="28"/>
      <c r="K130" s="33"/>
    </row>
    <row r="131" spans="1:17" x14ac:dyDescent="0.25">
      <c r="A131" s="28"/>
      <c r="B131" s="33"/>
      <c r="F131" s="36"/>
      <c r="G131" s="41"/>
      <c r="H131" s="28"/>
      <c r="I131" s="33"/>
      <c r="J131" s="28"/>
      <c r="K131" s="33"/>
    </row>
    <row r="132" spans="1:17" x14ac:dyDescent="0.25">
      <c r="A132" s="28"/>
      <c r="B132" s="33"/>
      <c r="F132" s="36"/>
      <c r="G132" s="41"/>
      <c r="H132" s="28"/>
      <c r="I132" s="33"/>
      <c r="J132" s="28"/>
      <c r="K132" s="33"/>
    </row>
    <row r="133" spans="1:17" x14ac:dyDescent="0.25">
      <c r="A133" s="28"/>
      <c r="B133" s="33"/>
      <c r="F133" s="36"/>
      <c r="G133" s="41"/>
      <c r="H133" s="28"/>
      <c r="I133" s="33"/>
      <c r="J133" s="28"/>
      <c r="K133" s="33"/>
      <c r="Q133" s="28"/>
    </row>
    <row r="134" spans="1:17" x14ac:dyDescent="0.25">
      <c r="A134" s="28"/>
      <c r="B134" s="33"/>
      <c r="F134" s="36"/>
      <c r="G134" s="41"/>
      <c r="H134" s="28"/>
      <c r="I134" s="33"/>
      <c r="J134" s="28"/>
      <c r="K134" s="33"/>
    </row>
    <row r="135" spans="1:17" x14ac:dyDescent="0.25">
      <c r="A135" s="28"/>
      <c r="B135" s="33"/>
      <c r="F135" s="36"/>
      <c r="G135" s="41"/>
      <c r="H135" s="28"/>
      <c r="I135" s="33"/>
      <c r="J135" s="28"/>
      <c r="K135" s="33"/>
      <c r="Q135" s="28"/>
    </row>
    <row r="136" spans="1:17" x14ac:dyDescent="0.25">
      <c r="A136" s="28"/>
      <c r="B136" s="33"/>
      <c r="F136" s="36"/>
      <c r="G136" s="41"/>
      <c r="H136" s="28"/>
      <c r="I136" s="33"/>
      <c r="J136" s="28"/>
      <c r="K136" s="33"/>
    </row>
    <row r="137" spans="1:17" x14ac:dyDescent="0.25">
      <c r="A137" s="28"/>
      <c r="B137" s="33"/>
      <c r="F137" s="36"/>
      <c r="G137" s="41"/>
      <c r="H137" s="28"/>
      <c r="I137" s="33"/>
      <c r="J137" s="28"/>
      <c r="K137" s="33"/>
    </row>
    <row r="138" spans="1:17" x14ac:dyDescent="0.25">
      <c r="A138" s="28"/>
      <c r="B138" s="33"/>
      <c r="F138" s="36"/>
      <c r="G138" s="41"/>
      <c r="H138" s="28"/>
      <c r="I138" s="33"/>
      <c r="J138" s="28"/>
      <c r="K138" s="33"/>
    </row>
    <row r="139" spans="1:17" x14ac:dyDescent="0.25">
      <c r="A139" s="28"/>
      <c r="B139" s="33"/>
      <c r="F139" s="36"/>
      <c r="G139" s="41"/>
      <c r="H139" s="28"/>
      <c r="I139" s="33"/>
      <c r="J139" s="28"/>
      <c r="K139" s="33"/>
      <c r="Q139" s="28"/>
    </row>
    <row r="140" spans="1:17" x14ac:dyDescent="0.25">
      <c r="A140" s="28"/>
      <c r="B140" s="33"/>
      <c r="F140" s="36"/>
      <c r="G140" s="41"/>
      <c r="H140" s="28"/>
      <c r="I140" s="33"/>
      <c r="J140" s="28"/>
      <c r="K140" s="33"/>
      <c r="Q140" s="28"/>
    </row>
    <row r="141" spans="1:17" x14ac:dyDescent="0.25">
      <c r="A141" s="28"/>
      <c r="B141" s="33"/>
      <c r="F141" s="36"/>
      <c r="G141" s="41"/>
      <c r="H141" s="28"/>
      <c r="I141" s="33"/>
      <c r="J141" s="28"/>
      <c r="K141" s="33"/>
      <c r="Q141" s="28"/>
    </row>
    <row r="142" spans="1:17" x14ac:dyDescent="0.25">
      <c r="A142" s="28"/>
      <c r="B142" s="33"/>
      <c r="F142" s="36"/>
      <c r="G142" s="41"/>
      <c r="H142" s="28"/>
      <c r="I142" s="33"/>
      <c r="J142" s="28"/>
      <c r="K142" s="33"/>
    </row>
    <row r="143" spans="1:17" x14ac:dyDescent="0.25">
      <c r="A143" s="28"/>
      <c r="B143" s="33"/>
      <c r="H143" s="28"/>
      <c r="I143" s="33"/>
      <c r="J143" s="28"/>
      <c r="K143" s="33"/>
      <c r="N143" s="64"/>
    </row>
    <row r="144" spans="1:17" x14ac:dyDescent="0.25">
      <c r="A144" s="28"/>
      <c r="B144" s="33"/>
      <c r="E144" s="28"/>
      <c r="F144" s="36"/>
      <c r="G144" s="28"/>
      <c r="H144" s="28"/>
      <c r="I144" s="33"/>
      <c r="J144" s="28"/>
      <c r="K144" s="43"/>
      <c r="N144" s="64"/>
      <c r="Q144" s="28"/>
    </row>
    <row r="145" spans="1:17" x14ac:dyDescent="0.25">
      <c r="A145" s="28"/>
      <c r="B145" s="33"/>
      <c r="E145" s="41"/>
      <c r="F145" s="44"/>
      <c r="G145" s="39"/>
      <c r="H145" s="28"/>
      <c r="I145" s="33"/>
      <c r="J145" s="28"/>
      <c r="K145" s="43"/>
      <c r="Q145" s="28"/>
    </row>
    <row r="146" spans="1:17" x14ac:dyDescent="0.25">
      <c r="A146" s="28"/>
      <c r="B146" s="33"/>
      <c r="E146" s="28"/>
      <c r="F146" s="36"/>
      <c r="G146" s="28"/>
      <c r="H146" s="28"/>
      <c r="I146" s="33"/>
      <c r="J146" s="28"/>
      <c r="K146" s="33"/>
      <c r="N146" s="64"/>
    </row>
    <row r="147" spans="1:17" x14ac:dyDescent="0.25">
      <c r="A147" s="28"/>
      <c r="B147" s="33"/>
      <c r="E147" s="28"/>
      <c r="F147" s="36"/>
      <c r="G147" s="28"/>
      <c r="H147" s="28"/>
      <c r="I147" s="33"/>
      <c r="J147" s="28"/>
      <c r="K147" s="43"/>
      <c r="N147" s="64"/>
      <c r="Q147" s="28"/>
    </row>
    <row r="148" spans="1:17" x14ac:dyDescent="0.25">
      <c r="A148" s="28"/>
      <c r="B148" s="33"/>
      <c r="E148" s="28"/>
      <c r="F148" s="36"/>
      <c r="G148" s="28"/>
      <c r="H148" s="28"/>
      <c r="I148" s="33"/>
      <c r="J148" s="28"/>
      <c r="K148" s="43"/>
      <c r="Q148" s="28"/>
    </row>
    <row r="149" spans="1:17" x14ac:dyDescent="0.25">
      <c r="A149" s="28"/>
      <c r="B149" s="33"/>
      <c r="E149" s="45"/>
      <c r="G149" s="28"/>
      <c r="H149" s="28"/>
      <c r="I149" s="33"/>
      <c r="J149" s="28"/>
      <c r="K149" s="33"/>
    </row>
    <row r="150" spans="1:17" x14ac:dyDescent="0.25">
      <c r="A150" s="28"/>
      <c r="B150" s="33"/>
      <c r="D150" s="41"/>
      <c r="H150" s="28"/>
      <c r="I150" s="33"/>
      <c r="J150" s="28"/>
      <c r="K150" s="33"/>
      <c r="N150" s="64"/>
    </row>
    <row r="151" spans="1:17" x14ac:dyDescent="0.25">
      <c r="A151" s="28"/>
      <c r="B151" s="33"/>
      <c r="D151" s="46"/>
      <c r="E151" s="46"/>
      <c r="F151" s="47"/>
      <c r="G151" s="46"/>
      <c r="H151" s="28"/>
      <c r="I151" s="33"/>
      <c r="J151" s="28"/>
      <c r="Q151" s="28"/>
    </row>
    <row r="152" spans="1:17" x14ac:dyDescent="0.25">
      <c r="A152" s="28"/>
      <c r="B152" s="33"/>
      <c r="E152" s="46"/>
      <c r="G152" s="28"/>
      <c r="H152" s="28"/>
      <c r="I152" s="33"/>
      <c r="J152" s="28"/>
      <c r="K152" s="33"/>
    </row>
    <row r="153" spans="1:17" x14ac:dyDescent="0.25">
      <c r="A153" s="28"/>
      <c r="B153" s="33"/>
      <c r="D153" s="46"/>
      <c r="E153" s="28"/>
      <c r="F153" s="47"/>
      <c r="G153" s="40"/>
      <c r="H153" s="28"/>
      <c r="I153" s="33"/>
      <c r="J153" s="28"/>
      <c r="K153" s="33"/>
    </row>
    <row r="154" spans="1:17" x14ac:dyDescent="0.25">
      <c r="A154" s="28"/>
      <c r="B154" s="33"/>
      <c r="D154" s="46"/>
      <c r="E154" s="46"/>
      <c r="F154" s="47"/>
      <c r="G154" s="40"/>
      <c r="H154" s="28"/>
      <c r="I154" s="33"/>
      <c r="J154" s="28"/>
      <c r="K154" s="33"/>
    </row>
    <row r="155" spans="1:17" x14ac:dyDescent="0.25">
      <c r="A155" s="28"/>
      <c r="B155" s="33"/>
      <c r="D155" s="46"/>
      <c r="E155" s="46"/>
      <c r="F155" s="36"/>
      <c r="G155" s="46"/>
      <c r="H155" s="28"/>
      <c r="I155" s="33"/>
      <c r="J155" s="28"/>
      <c r="K155" s="33"/>
      <c r="Q155" s="28"/>
    </row>
    <row r="156" spans="1:17" x14ac:dyDescent="0.25">
      <c r="A156" s="28"/>
      <c r="B156" s="33"/>
      <c r="D156" s="28"/>
      <c r="E156" s="28"/>
      <c r="F156" s="47"/>
      <c r="G156" s="28"/>
      <c r="H156" s="28"/>
      <c r="I156" s="33"/>
      <c r="J156" s="28"/>
      <c r="K156" s="33"/>
    </row>
    <row r="157" spans="1:17" x14ac:dyDescent="0.25">
      <c r="A157" s="28"/>
      <c r="B157" s="33"/>
      <c r="E157" s="45"/>
      <c r="G157" s="28"/>
      <c r="H157" s="28"/>
      <c r="I157" s="33"/>
      <c r="J157" s="28"/>
      <c r="K157" s="33"/>
    </row>
    <row r="158" spans="1:17" x14ac:dyDescent="0.25">
      <c r="A158" s="28"/>
      <c r="B158" s="33"/>
      <c r="D158" s="28"/>
      <c r="H158" s="28"/>
      <c r="I158" s="33"/>
      <c r="J158" s="28"/>
      <c r="K158" s="33"/>
      <c r="Q158" s="28"/>
    </row>
    <row r="159" spans="1:17" x14ac:dyDescent="0.25">
      <c r="A159" s="28"/>
      <c r="B159" s="33"/>
      <c r="H159" s="28"/>
      <c r="I159" s="33"/>
      <c r="J159" s="28"/>
      <c r="K159" s="33"/>
      <c r="Q159" s="28"/>
    </row>
    <row r="160" spans="1:17" x14ac:dyDescent="0.25">
      <c r="A160" s="28"/>
      <c r="B160" s="33"/>
      <c r="H160" s="28"/>
      <c r="I160" s="33"/>
      <c r="J160" s="28"/>
      <c r="K160" s="33"/>
      <c r="Q160" s="28"/>
    </row>
    <row r="161" spans="1:17" x14ac:dyDescent="0.25">
      <c r="A161" s="28"/>
      <c r="B161" s="33"/>
      <c r="H161" s="28"/>
      <c r="I161" s="33"/>
      <c r="J161" s="28"/>
      <c r="K161" s="33"/>
      <c r="Q161" s="28"/>
    </row>
    <row r="162" spans="1:17" x14ac:dyDescent="0.25">
      <c r="A162" s="28"/>
      <c r="B162" s="33"/>
      <c r="H162" s="28"/>
      <c r="I162" s="33"/>
      <c r="J162" s="28"/>
      <c r="K162" s="33"/>
      <c r="Q162" s="28"/>
    </row>
    <row r="163" spans="1:17" x14ac:dyDescent="0.25">
      <c r="A163" s="28"/>
      <c r="B163" s="33"/>
      <c r="H163" s="28"/>
      <c r="I163" s="33"/>
      <c r="J163" s="28"/>
      <c r="K163" s="33"/>
      <c r="Q163" s="28"/>
    </row>
    <row r="164" spans="1:17" x14ac:dyDescent="0.25">
      <c r="A164" s="28"/>
      <c r="B164" s="33"/>
      <c r="H164" s="28"/>
      <c r="I164" s="33"/>
      <c r="J164" s="28"/>
      <c r="K164" s="33"/>
    </row>
    <row r="165" spans="1:17" x14ac:dyDescent="0.25">
      <c r="A165" s="28"/>
      <c r="B165" s="33"/>
      <c r="H165" s="28"/>
      <c r="I165" s="33"/>
      <c r="J165" s="28"/>
      <c r="K165" s="33"/>
    </row>
    <row r="166" spans="1:17" x14ac:dyDescent="0.25">
      <c r="A166" s="28"/>
      <c r="B166" s="33"/>
      <c r="H166" s="28"/>
      <c r="I166" s="33"/>
      <c r="J166" s="28"/>
      <c r="K166" s="33"/>
      <c r="Q166" s="28"/>
    </row>
    <row r="167" spans="1:17" x14ac:dyDescent="0.25">
      <c r="A167" s="28"/>
      <c r="B167" s="33"/>
      <c r="H167" s="28"/>
      <c r="I167" s="33"/>
      <c r="J167" s="28"/>
      <c r="K167" s="33"/>
      <c r="Q167" s="28"/>
    </row>
    <row r="168" spans="1:17" x14ac:dyDescent="0.25">
      <c r="A168" s="28"/>
      <c r="B168" s="33"/>
      <c r="H168" s="28"/>
      <c r="I168" s="33"/>
      <c r="J168" s="28"/>
      <c r="K168" s="33"/>
      <c r="Q168" s="28"/>
    </row>
    <row r="169" spans="1:17" x14ac:dyDescent="0.25">
      <c r="A169" s="28"/>
      <c r="B169" s="33"/>
      <c r="I169" s="33"/>
      <c r="J169" s="28"/>
      <c r="K169" s="33"/>
      <c r="Q169" s="28"/>
    </row>
    <row r="170" spans="1:17" x14ac:dyDescent="0.25">
      <c r="A170" s="28"/>
      <c r="B170" s="33"/>
      <c r="C170" s="34"/>
      <c r="H170" s="28"/>
      <c r="I170" s="33"/>
      <c r="K170" s="33"/>
    </row>
    <row r="171" spans="1:17" x14ac:dyDescent="0.25">
      <c r="A171" s="28"/>
      <c r="B171" s="33"/>
      <c r="H171" s="28"/>
      <c r="I171" s="33"/>
      <c r="J171" s="28"/>
      <c r="K171" s="33"/>
      <c r="Q171" s="28"/>
    </row>
    <row r="172" spans="1:17" x14ac:dyDescent="0.25">
      <c r="A172" s="28"/>
      <c r="B172" s="33"/>
      <c r="H172" s="28"/>
      <c r="I172" s="33"/>
      <c r="J172" s="28"/>
      <c r="K172" s="33"/>
      <c r="Q172" s="28"/>
    </row>
    <row r="173" spans="1:17" x14ac:dyDescent="0.25">
      <c r="A173" s="28"/>
      <c r="B173" s="33"/>
      <c r="H173" s="28"/>
      <c r="I173" s="33"/>
      <c r="J173" s="28"/>
      <c r="K173" s="33"/>
    </row>
    <row r="174" spans="1:17" x14ac:dyDescent="0.25">
      <c r="A174" s="28"/>
      <c r="B174" s="33"/>
      <c r="H174" s="28"/>
      <c r="I174" s="33"/>
      <c r="J174" s="28"/>
      <c r="K174" s="33"/>
    </row>
    <row r="175" spans="1:17" x14ac:dyDescent="0.25">
      <c r="A175" s="28"/>
      <c r="B175" s="33"/>
      <c r="H175" s="28"/>
      <c r="I175" s="33"/>
      <c r="J175" s="28"/>
      <c r="K175" s="33"/>
      <c r="Q175" s="28"/>
    </row>
    <row r="176" spans="1:17" x14ac:dyDescent="0.25">
      <c r="A176" s="28"/>
      <c r="B176" s="33"/>
      <c r="D176" s="39"/>
      <c r="H176" s="28"/>
      <c r="I176" s="33"/>
      <c r="J176" s="28"/>
      <c r="K176" s="33"/>
    </row>
    <row r="177" spans="1:17" x14ac:dyDescent="0.25">
      <c r="A177" s="28"/>
      <c r="B177" s="33"/>
      <c r="H177" s="28"/>
      <c r="I177" s="33"/>
      <c r="J177" s="28"/>
      <c r="K177" s="33"/>
      <c r="Q177" s="28"/>
    </row>
    <row r="178" spans="1:17" x14ac:dyDescent="0.25">
      <c r="A178" s="28"/>
      <c r="B178" s="33"/>
      <c r="C178" s="34"/>
      <c r="H178" s="28"/>
      <c r="I178" s="33"/>
      <c r="K178" s="33"/>
    </row>
    <row r="179" spans="1:17" x14ac:dyDescent="0.25">
      <c r="A179" s="28"/>
      <c r="B179" s="33"/>
      <c r="C179" s="34"/>
      <c r="H179" s="28"/>
      <c r="I179" s="33"/>
      <c r="K179" s="33"/>
    </row>
    <row r="180" spans="1:17" x14ac:dyDescent="0.25">
      <c r="A180" s="28"/>
      <c r="B180" s="33"/>
      <c r="C180" s="34"/>
      <c r="H180" s="28"/>
      <c r="I180" s="33"/>
      <c r="J180" s="28"/>
      <c r="K180" s="33"/>
      <c r="Q180" s="28"/>
    </row>
    <row r="181" spans="1:17" x14ac:dyDescent="0.25">
      <c r="A181" s="28"/>
      <c r="B181" s="33"/>
      <c r="C181" s="34"/>
      <c r="H181" s="28"/>
      <c r="I181" s="33"/>
      <c r="J181" s="28"/>
      <c r="K181" s="33"/>
    </row>
    <row r="182" spans="1:17" x14ac:dyDescent="0.25">
      <c r="A182" s="28"/>
      <c r="B182" s="33"/>
      <c r="C182" s="34"/>
      <c r="H182" s="28"/>
      <c r="I182" s="33"/>
      <c r="J182" s="28"/>
      <c r="K182" s="33"/>
    </row>
    <row r="183" spans="1:17" x14ac:dyDescent="0.25">
      <c r="A183" s="28"/>
      <c r="B183" s="33"/>
      <c r="C183" s="34"/>
      <c r="H183" s="28"/>
      <c r="I183" s="33"/>
      <c r="J183" s="28"/>
      <c r="K183" s="33"/>
    </row>
    <row r="184" spans="1:17" x14ac:dyDescent="0.25">
      <c r="A184" s="28"/>
      <c r="B184" s="33"/>
      <c r="C184" s="34"/>
      <c r="H184" s="28"/>
      <c r="I184" s="33"/>
      <c r="J184" s="28"/>
      <c r="K184" s="33"/>
    </row>
    <row r="185" spans="1:17" x14ac:dyDescent="0.25">
      <c r="A185" s="28"/>
      <c r="B185" s="33"/>
      <c r="C185" s="34"/>
      <c r="H185" s="28"/>
      <c r="J185" s="28"/>
      <c r="K185" s="28"/>
      <c r="Q185" s="28"/>
    </row>
    <row r="186" spans="1:17" x14ac:dyDescent="0.25">
      <c r="A186" s="28"/>
      <c r="B186" s="33"/>
      <c r="C186" s="34"/>
      <c r="H186" s="28"/>
      <c r="J186" s="28"/>
      <c r="K186" s="28"/>
      <c r="Q186" s="28"/>
    </row>
    <row r="187" spans="1:17" x14ac:dyDescent="0.25">
      <c r="A187" s="28"/>
      <c r="B187" s="33"/>
      <c r="C187" s="34"/>
      <c r="H187" s="28"/>
      <c r="I187" s="33"/>
      <c r="J187" s="28"/>
      <c r="K187" s="33"/>
    </row>
    <row r="188" spans="1:17" x14ac:dyDescent="0.25">
      <c r="A188" s="28"/>
      <c r="B188" s="33"/>
      <c r="C188" s="34"/>
      <c r="H188" s="28"/>
      <c r="J188" s="28"/>
      <c r="K188" s="28"/>
      <c r="Q188" s="28"/>
    </row>
    <row r="189" spans="1:17" x14ac:dyDescent="0.25">
      <c r="A189" s="28"/>
      <c r="B189" s="33"/>
      <c r="C189" s="34"/>
      <c r="H189" s="28"/>
      <c r="I189" s="33"/>
      <c r="J189" s="28"/>
      <c r="K189" s="33"/>
      <c r="Q189" s="28"/>
    </row>
    <row r="190" spans="1:17" x14ac:dyDescent="0.25">
      <c r="A190" s="28"/>
      <c r="B190" s="33"/>
      <c r="C190" s="34"/>
      <c r="H190" s="28"/>
      <c r="J190" s="28"/>
      <c r="K190" s="28"/>
      <c r="Q190" s="28"/>
    </row>
    <row r="191" spans="1:17" x14ac:dyDescent="0.25">
      <c r="A191" s="28"/>
      <c r="B191" s="33"/>
      <c r="C191" s="34"/>
      <c r="H191" s="28"/>
      <c r="I191" s="33"/>
      <c r="J191" s="28"/>
      <c r="K191" s="33"/>
    </row>
    <row r="192" spans="1:17" x14ac:dyDescent="0.25">
      <c r="A192" s="28"/>
      <c r="B192" s="33"/>
      <c r="C192" s="34"/>
      <c r="H192" s="28"/>
      <c r="J192" s="28"/>
      <c r="K192" s="28"/>
      <c r="Q192" s="28"/>
    </row>
    <row r="193" spans="1:17" x14ac:dyDescent="0.25">
      <c r="A193" s="28"/>
      <c r="B193" s="33"/>
      <c r="C193" s="34"/>
      <c r="H193" s="28"/>
      <c r="I193" s="33"/>
      <c r="J193" s="28"/>
      <c r="K193" s="33"/>
    </row>
    <row r="194" spans="1:17" x14ac:dyDescent="0.25">
      <c r="A194" s="28"/>
      <c r="B194" s="33"/>
      <c r="C194" s="34"/>
      <c r="H194" s="28"/>
      <c r="I194" s="33"/>
      <c r="J194" s="28"/>
      <c r="K194" s="33"/>
    </row>
    <row r="195" spans="1:17" x14ac:dyDescent="0.25">
      <c r="A195" s="28"/>
      <c r="B195" s="33"/>
      <c r="C195" s="34"/>
      <c r="H195" s="28"/>
      <c r="I195" s="33"/>
      <c r="J195" s="28"/>
      <c r="K195" s="33"/>
    </row>
    <row r="196" spans="1:17" x14ac:dyDescent="0.25">
      <c r="A196" s="28"/>
      <c r="B196" s="33"/>
      <c r="C196" s="34"/>
      <c r="H196" s="28"/>
      <c r="J196" s="28"/>
      <c r="K196" s="28"/>
      <c r="Q196" s="28"/>
    </row>
    <row r="197" spans="1:17" x14ac:dyDescent="0.25">
      <c r="A197" s="28"/>
      <c r="B197" s="33"/>
      <c r="C197" s="34"/>
      <c r="H197" s="28"/>
      <c r="I197" s="33"/>
      <c r="J197" s="28"/>
      <c r="K197" s="33"/>
    </row>
    <row r="198" spans="1:17" x14ac:dyDescent="0.25">
      <c r="A198" s="28"/>
      <c r="B198" s="33"/>
      <c r="C198" s="34"/>
      <c r="H198" s="28"/>
      <c r="I198" s="33"/>
      <c r="J198" s="28"/>
      <c r="K198" s="33"/>
    </row>
    <row r="199" spans="1:17" x14ac:dyDescent="0.25">
      <c r="A199" s="28"/>
      <c r="B199" s="33"/>
      <c r="C199" s="34"/>
      <c r="H199" s="28"/>
      <c r="I199" s="33"/>
      <c r="J199" s="28"/>
      <c r="K199" s="33"/>
      <c r="Q199" s="28"/>
    </row>
    <row r="200" spans="1:17" x14ac:dyDescent="0.25">
      <c r="A200" s="28"/>
      <c r="B200" s="33"/>
      <c r="C200" s="34"/>
      <c r="H200" s="28"/>
      <c r="I200" s="33"/>
      <c r="J200" s="28"/>
      <c r="K200" s="33"/>
    </row>
    <row r="201" spans="1:17" x14ac:dyDescent="0.25">
      <c r="A201" s="28"/>
      <c r="B201" s="48"/>
      <c r="C201" s="34"/>
      <c r="H201" s="28"/>
      <c r="I201" s="33"/>
      <c r="J201" s="28"/>
      <c r="K201" s="33"/>
    </row>
    <row r="202" spans="1:17" x14ac:dyDescent="0.25">
      <c r="A202" s="28"/>
      <c r="B202" s="48"/>
      <c r="C202" s="34"/>
      <c r="H202" s="28"/>
      <c r="Q202" s="28"/>
    </row>
    <row r="203" spans="1:17" x14ac:dyDescent="0.25">
      <c r="A203" s="28"/>
      <c r="B203" s="48"/>
      <c r="C203" s="34"/>
      <c r="H203" s="28"/>
      <c r="I203" s="33"/>
      <c r="J203" s="28"/>
      <c r="K203" s="33"/>
    </row>
    <row r="204" spans="1:17" x14ac:dyDescent="0.25">
      <c r="A204" s="28"/>
      <c r="B204" s="48"/>
      <c r="C204" s="34"/>
      <c r="H204" s="28"/>
      <c r="I204" s="33"/>
      <c r="J204" s="28"/>
      <c r="K204" s="33"/>
    </row>
    <row r="205" spans="1:17" x14ac:dyDescent="0.25">
      <c r="A205" s="28"/>
      <c r="B205" s="48"/>
      <c r="C205" s="34"/>
      <c r="H205" s="28"/>
      <c r="I205" s="33"/>
      <c r="J205" s="28"/>
      <c r="K205" s="33"/>
    </row>
    <row r="206" spans="1:17" x14ac:dyDescent="0.25">
      <c r="A206" s="28"/>
      <c r="B206" s="48"/>
      <c r="C206" s="34"/>
      <c r="H206" s="28"/>
      <c r="I206" s="33"/>
      <c r="J206" s="28"/>
      <c r="K206" s="33"/>
    </row>
    <row r="207" spans="1:17" x14ac:dyDescent="0.25">
      <c r="A207" s="28"/>
      <c r="B207" s="48"/>
      <c r="C207" s="34"/>
      <c r="H207" s="28"/>
      <c r="I207" s="33"/>
    </row>
    <row r="208" spans="1:17" x14ac:dyDescent="0.25">
      <c r="A208" s="28"/>
      <c r="B208" s="48"/>
      <c r="C208" s="34"/>
      <c r="H208" s="28"/>
      <c r="I208" s="33"/>
      <c r="J208" s="28"/>
      <c r="K208" s="33"/>
    </row>
    <row r="209" spans="1:17" x14ac:dyDescent="0.25">
      <c r="A209" s="28"/>
      <c r="B209" s="48"/>
      <c r="C209" s="34"/>
      <c r="H209" s="28"/>
      <c r="I209" s="33"/>
      <c r="J209" s="28"/>
      <c r="K209" s="33"/>
    </row>
    <row r="210" spans="1:17" x14ac:dyDescent="0.25">
      <c r="A210" s="28"/>
      <c r="B210" s="48"/>
      <c r="C210" s="34"/>
      <c r="H210" s="28"/>
      <c r="I210" s="33"/>
      <c r="Q210" s="28"/>
    </row>
    <row r="211" spans="1:17" x14ac:dyDescent="0.25">
      <c r="A211" s="28"/>
      <c r="B211" s="48"/>
      <c r="C211" s="34"/>
      <c r="H211" s="28"/>
      <c r="I211" s="33"/>
      <c r="J211" s="28"/>
      <c r="K211" s="33"/>
    </row>
    <row r="212" spans="1:17" x14ac:dyDescent="0.25">
      <c r="A212" s="28"/>
      <c r="B212" s="48"/>
      <c r="C212" s="34"/>
      <c r="H212" s="28"/>
      <c r="I212" s="33"/>
      <c r="J212" s="28"/>
      <c r="K212" s="33"/>
    </row>
    <row r="213" spans="1:17" x14ac:dyDescent="0.25">
      <c r="A213" s="28"/>
      <c r="B213" s="48"/>
      <c r="C213" s="34"/>
      <c r="H213" s="28"/>
      <c r="I213" s="33"/>
      <c r="J213" s="28"/>
      <c r="K213" s="33"/>
      <c r="Q213" s="28"/>
    </row>
    <row r="214" spans="1:17" x14ac:dyDescent="0.25">
      <c r="A214" s="28"/>
      <c r="B214" s="48"/>
      <c r="C214" s="34"/>
      <c r="H214" s="28"/>
      <c r="I214" s="33"/>
      <c r="J214" s="28"/>
      <c r="K214" s="33"/>
    </row>
    <row r="215" spans="1:17" x14ac:dyDescent="0.25">
      <c r="A215" s="28"/>
      <c r="B215" s="48"/>
      <c r="C215" s="34"/>
      <c r="H215" s="28"/>
      <c r="I215" s="33"/>
      <c r="J215" s="28"/>
      <c r="K215" s="33"/>
    </row>
    <row r="216" spans="1:17" x14ac:dyDescent="0.25">
      <c r="A216" s="28"/>
      <c r="B216" s="48"/>
      <c r="C216" s="34"/>
      <c r="H216" s="28"/>
      <c r="I216" s="34"/>
      <c r="J216" s="28"/>
      <c r="K216" s="33"/>
    </row>
    <row r="217" spans="1:17" x14ac:dyDescent="0.2">
      <c r="A217" s="28"/>
      <c r="B217" s="29"/>
      <c r="C217" s="34"/>
      <c r="D217" s="30"/>
      <c r="E217" s="30"/>
      <c r="F217" s="31"/>
      <c r="G217" s="56"/>
      <c r="I217" s="33"/>
      <c r="J217" s="28"/>
    </row>
    <row r="218" spans="1:17" x14ac:dyDescent="0.2">
      <c r="A218" s="28"/>
      <c r="B218" s="29"/>
      <c r="C218" s="34"/>
      <c r="D218" s="30"/>
      <c r="E218" s="30"/>
      <c r="F218" s="31"/>
      <c r="G218" s="56"/>
      <c r="I218" s="33"/>
      <c r="J218" s="28"/>
      <c r="K218" s="43"/>
    </row>
    <row r="219" spans="1:17" x14ac:dyDescent="0.2">
      <c r="A219" s="28"/>
      <c r="B219" s="29"/>
      <c r="C219" s="34"/>
      <c r="D219" s="30"/>
      <c r="E219" s="30"/>
      <c r="F219" s="31"/>
      <c r="G219" s="56"/>
      <c r="J219" s="28"/>
      <c r="Q219" s="28"/>
    </row>
    <row r="220" spans="1:17" x14ac:dyDescent="0.2">
      <c r="A220" s="28"/>
      <c r="B220" s="29"/>
      <c r="C220" s="34"/>
      <c r="D220" s="30"/>
      <c r="E220" s="30"/>
      <c r="F220" s="31"/>
      <c r="G220" s="56"/>
      <c r="H220" s="28"/>
      <c r="I220" s="33"/>
      <c r="J220" s="28"/>
      <c r="K220" s="48"/>
    </row>
    <row r="221" spans="1:17" x14ac:dyDescent="0.2">
      <c r="A221" s="28"/>
      <c r="B221" s="29"/>
      <c r="C221" s="34"/>
      <c r="D221" s="30"/>
      <c r="E221" s="30"/>
      <c r="F221" s="31"/>
      <c r="G221" s="56"/>
      <c r="J221" s="28"/>
      <c r="Q221" s="28"/>
    </row>
    <row r="222" spans="1:17" x14ac:dyDescent="0.2">
      <c r="A222" s="28"/>
      <c r="B222" s="29"/>
      <c r="C222" s="34"/>
      <c r="D222" s="30"/>
      <c r="E222" s="30"/>
      <c r="F222" s="31"/>
      <c r="G222" s="56"/>
      <c r="H222" s="28"/>
      <c r="I222" s="33"/>
      <c r="J222" s="28"/>
      <c r="K222" s="48"/>
    </row>
    <row r="223" spans="1:17" x14ac:dyDescent="0.2">
      <c r="A223" s="28"/>
      <c r="B223" s="29"/>
      <c r="C223" s="34"/>
      <c r="D223" s="30"/>
      <c r="E223" s="30"/>
      <c r="F223" s="31"/>
      <c r="G223" s="56"/>
      <c r="H223" s="28"/>
      <c r="I223" s="33"/>
      <c r="K223" s="48"/>
    </row>
    <row r="224" spans="1:17" x14ac:dyDescent="0.2">
      <c r="A224" s="28"/>
      <c r="B224" s="29"/>
      <c r="C224" s="34"/>
      <c r="D224" s="30"/>
      <c r="E224" s="49"/>
      <c r="F224" s="31"/>
      <c r="G224" s="56"/>
      <c r="Q224" s="28"/>
    </row>
    <row r="225" spans="1:17" x14ac:dyDescent="0.2">
      <c r="A225" s="28"/>
      <c r="B225" s="29"/>
      <c r="C225" s="34"/>
      <c r="D225" s="30"/>
      <c r="E225" s="30"/>
      <c r="F225" s="31"/>
      <c r="G225" s="56"/>
      <c r="H225" s="28"/>
      <c r="I225" s="33"/>
      <c r="K225" s="48"/>
    </row>
    <row r="226" spans="1:17" x14ac:dyDescent="0.2">
      <c r="A226" s="28"/>
      <c r="B226" s="29"/>
      <c r="C226" s="34"/>
      <c r="D226" s="30"/>
      <c r="E226" s="30"/>
      <c r="F226" s="31"/>
      <c r="G226" s="56"/>
      <c r="H226" s="28"/>
      <c r="I226" s="33"/>
      <c r="J226" s="28"/>
      <c r="K226" s="48"/>
    </row>
    <row r="227" spans="1:17" x14ac:dyDescent="0.25">
      <c r="A227" s="28"/>
      <c r="B227" s="48"/>
      <c r="C227" s="34"/>
      <c r="H227" s="28"/>
      <c r="I227" s="33"/>
      <c r="J227" s="28"/>
      <c r="K227" s="48"/>
      <c r="Q227" s="28"/>
    </row>
    <row r="228" spans="1:17" x14ac:dyDescent="0.25">
      <c r="A228" s="28"/>
      <c r="B228" s="48"/>
      <c r="C228" s="34"/>
      <c r="H228" s="28"/>
      <c r="I228" s="33"/>
      <c r="J228" s="28"/>
      <c r="K228" s="48"/>
    </row>
    <row r="229" spans="1:17" x14ac:dyDescent="0.25">
      <c r="A229" s="28"/>
      <c r="B229" s="48"/>
      <c r="C229" s="34"/>
      <c r="H229" s="28"/>
      <c r="I229" s="33"/>
      <c r="K229" s="48"/>
    </row>
    <row r="230" spans="1:17" x14ac:dyDescent="0.25">
      <c r="A230" s="28"/>
      <c r="B230" s="48"/>
      <c r="C230" s="34"/>
      <c r="H230" s="28"/>
      <c r="I230" s="33"/>
      <c r="K230" s="48"/>
    </row>
    <row r="231" spans="1:17" x14ac:dyDescent="0.25">
      <c r="A231" s="28"/>
      <c r="B231" s="48"/>
      <c r="C231" s="34"/>
      <c r="H231" s="28"/>
      <c r="I231" s="33"/>
      <c r="K231" s="48"/>
      <c r="Q231" s="28"/>
    </row>
    <row r="232" spans="1:17" x14ac:dyDescent="0.25">
      <c r="A232" s="28"/>
      <c r="B232" s="48"/>
      <c r="C232" s="34"/>
      <c r="H232" s="28"/>
      <c r="I232" s="33"/>
      <c r="J232" s="28"/>
      <c r="K232" s="48"/>
    </row>
    <row r="233" spans="1:17" x14ac:dyDescent="0.25">
      <c r="A233" s="28"/>
      <c r="B233" s="48"/>
      <c r="C233" s="34"/>
      <c r="H233" s="28"/>
      <c r="I233" s="33"/>
      <c r="K233" s="48"/>
    </row>
    <row r="234" spans="1:17" x14ac:dyDescent="0.25">
      <c r="A234" s="28"/>
      <c r="B234" s="48"/>
      <c r="C234" s="34"/>
      <c r="H234" s="28"/>
      <c r="I234" s="33"/>
      <c r="K234" s="48"/>
      <c r="Q234" s="28"/>
    </row>
    <row r="235" spans="1:17" x14ac:dyDescent="0.25">
      <c r="A235" s="28"/>
      <c r="B235" s="48"/>
      <c r="C235" s="34"/>
      <c r="H235" s="28"/>
      <c r="I235" s="33"/>
      <c r="K235" s="48"/>
      <c r="Q235" s="28"/>
    </row>
    <row r="236" spans="1:17" x14ac:dyDescent="0.25">
      <c r="A236" s="28"/>
      <c r="B236" s="48"/>
      <c r="C236" s="34"/>
      <c r="H236" s="28"/>
      <c r="I236" s="33"/>
      <c r="K236" s="48"/>
    </row>
    <row r="237" spans="1:17" x14ac:dyDescent="0.25">
      <c r="A237" s="28"/>
      <c r="B237" s="48"/>
      <c r="C237" s="34"/>
      <c r="H237" s="28"/>
      <c r="I237" s="33"/>
      <c r="K237" s="48"/>
      <c r="Q237" s="28"/>
    </row>
    <row r="238" spans="1:17" x14ac:dyDescent="0.25">
      <c r="A238" s="28"/>
      <c r="B238" s="48"/>
      <c r="C238" s="34"/>
      <c r="H238" s="28"/>
      <c r="I238" s="33"/>
      <c r="K238" s="48"/>
      <c r="Q238" s="28"/>
    </row>
    <row r="239" spans="1:17" x14ac:dyDescent="0.25">
      <c r="A239" s="28"/>
      <c r="B239" s="48"/>
      <c r="C239" s="34"/>
      <c r="H239" s="28"/>
      <c r="I239" s="33"/>
      <c r="K239" s="48"/>
      <c r="Q239" s="28"/>
    </row>
    <row r="240" spans="1:17" x14ac:dyDescent="0.25">
      <c r="A240" s="28"/>
      <c r="B240" s="48"/>
      <c r="C240" s="34"/>
      <c r="H240" s="28"/>
      <c r="I240" s="33"/>
      <c r="J240" s="28"/>
      <c r="K240" s="48"/>
    </row>
    <row r="241" spans="1:17" x14ac:dyDescent="0.25">
      <c r="A241" s="28"/>
      <c r="B241" s="48"/>
      <c r="C241" s="34"/>
      <c r="H241" s="28"/>
      <c r="I241" s="33"/>
      <c r="K241" s="48"/>
      <c r="Q241" s="28"/>
    </row>
    <row r="242" spans="1:17" x14ac:dyDescent="0.25">
      <c r="A242" s="28"/>
      <c r="B242" s="48"/>
      <c r="C242" s="34"/>
      <c r="H242" s="28"/>
      <c r="I242" s="33"/>
      <c r="K242" s="48"/>
      <c r="Q242" s="28"/>
    </row>
    <row r="243" spans="1:17" x14ac:dyDescent="0.25">
      <c r="A243" s="28"/>
      <c r="B243" s="48"/>
      <c r="C243" s="34"/>
      <c r="H243" s="28"/>
      <c r="I243" s="33"/>
      <c r="J243" s="28"/>
      <c r="K243" s="48"/>
    </row>
    <row r="244" spans="1:17" x14ac:dyDescent="0.25">
      <c r="A244" s="28"/>
      <c r="B244" s="48"/>
      <c r="C244" s="34"/>
      <c r="I244" s="33"/>
      <c r="K244" s="48"/>
    </row>
    <row r="245" spans="1:17" x14ac:dyDescent="0.25">
      <c r="A245" s="28"/>
      <c r="B245" s="48"/>
      <c r="C245" s="34"/>
      <c r="H245" s="28"/>
      <c r="I245" s="33"/>
      <c r="J245" s="28"/>
      <c r="K245" s="48"/>
    </row>
    <row r="246" spans="1:17" x14ac:dyDescent="0.25">
      <c r="A246" s="28"/>
      <c r="B246" s="48"/>
      <c r="C246" s="34"/>
      <c r="H246" s="28"/>
      <c r="I246" s="33"/>
      <c r="J246" s="28"/>
      <c r="K246" s="48"/>
    </row>
    <row r="247" spans="1:17" x14ac:dyDescent="0.25">
      <c r="A247" s="28"/>
      <c r="B247" s="48"/>
      <c r="C247" s="34"/>
      <c r="H247" s="28"/>
      <c r="I247" s="33"/>
      <c r="J247" s="28"/>
      <c r="K247" s="48"/>
    </row>
    <row r="248" spans="1:17" x14ac:dyDescent="0.25">
      <c r="A248" s="28"/>
      <c r="B248" s="48"/>
      <c r="C248" s="34"/>
      <c r="H248" s="28"/>
      <c r="I248" s="33"/>
      <c r="J248" s="28"/>
      <c r="K248" s="48"/>
    </row>
    <row r="249" spans="1:17" x14ac:dyDescent="0.25">
      <c r="A249" s="28"/>
      <c r="B249" s="48"/>
      <c r="C249" s="34"/>
      <c r="H249" s="28"/>
      <c r="I249" s="33"/>
      <c r="J249" s="28"/>
      <c r="K249" s="48"/>
    </row>
    <row r="250" spans="1:17" ht="16.5" customHeight="1" x14ac:dyDescent="0.25">
      <c r="A250" s="28"/>
      <c r="B250" s="48"/>
      <c r="C250" s="34"/>
      <c r="H250" s="28"/>
      <c r="I250" s="33"/>
      <c r="K250" s="48"/>
    </row>
    <row r="251" spans="1:17" x14ac:dyDescent="0.25">
      <c r="A251" s="28"/>
      <c r="B251" s="48"/>
      <c r="C251" s="34"/>
      <c r="H251" s="28"/>
      <c r="I251" s="33"/>
      <c r="K251" s="48"/>
    </row>
    <row r="252" spans="1:17" x14ac:dyDescent="0.25">
      <c r="A252" s="28"/>
      <c r="B252" s="48"/>
      <c r="C252" s="34"/>
      <c r="H252" s="28"/>
      <c r="I252" s="33"/>
      <c r="K252" s="48"/>
    </row>
    <row r="253" spans="1:17" x14ac:dyDescent="0.25">
      <c r="A253" s="28"/>
      <c r="B253" s="48"/>
      <c r="C253" s="34"/>
      <c r="H253" s="28"/>
      <c r="I253" s="33"/>
      <c r="K253" s="48"/>
    </row>
    <row r="254" spans="1:17" x14ac:dyDescent="0.25">
      <c r="A254" s="28"/>
      <c r="B254" s="48"/>
      <c r="C254" s="34"/>
      <c r="H254" s="28"/>
      <c r="I254" s="33"/>
      <c r="K254" s="48"/>
    </row>
    <row r="255" spans="1:17" x14ac:dyDescent="0.25">
      <c r="A255" s="28"/>
      <c r="B255" s="48"/>
      <c r="C255" s="34"/>
      <c r="H255" s="28"/>
      <c r="I255" s="33"/>
    </row>
    <row r="256" spans="1:17" x14ac:dyDescent="0.25">
      <c r="A256" s="28"/>
      <c r="B256" s="48"/>
      <c r="C256" s="34"/>
      <c r="H256" s="28"/>
      <c r="I256" s="33"/>
      <c r="K256" s="48"/>
    </row>
    <row r="257" spans="1:14" x14ac:dyDescent="0.25">
      <c r="A257" s="28"/>
      <c r="B257" s="48"/>
      <c r="C257" s="34"/>
      <c r="H257" s="28"/>
      <c r="I257" s="33"/>
      <c r="K257" s="48"/>
    </row>
    <row r="258" spans="1:14" x14ac:dyDescent="0.25">
      <c r="A258" s="28"/>
      <c r="B258" s="48"/>
      <c r="C258" s="34"/>
      <c r="H258" s="28"/>
      <c r="I258" s="33"/>
      <c r="K258" s="48"/>
    </row>
    <row r="259" spans="1:14" x14ac:dyDescent="0.25">
      <c r="A259" s="28"/>
      <c r="B259" s="48"/>
      <c r="C259" s="34"/>
      <c r="H259" s="28"/>
      <c r="I259" s="33"/>
      <c r="K259" s="48"/>
    </row>
    <row r="260" spans="1:14" x14ac:dyDescent="0.25">
      <c r="A260" s="28"/>
    </row>
    <row r="261" spans="1:14" x14ac:dyDescent="0.25">
      <c r="A261" s="28"/>
    </row>
    <row r="262" spans="1:14" x14ac:dyDescent="0.25">
      <c r="A262" s="28"/>
    </row>
    <row r="263" spans="1:14" x14ac:dyDescent="0.25">
      <c r="A263" s="28"/>
    </row>
    <row r="264" spans="1:14" x14ac:dyDescent="0.25">
      <c r="A264" s="28"/>
    </row>
    <row r="265" spans="1:14" x14ac:dyDescent="0.25">
      <c r="A265" s="28"/>
      <c r="N265" s="62" t="s">
        <v>11</v>
      </c>
    </row>
  </sheetData>
  <autoFilter ref="A1:XFA265" xr:uid="{00000000-0009-0000-0000-000000000000}"/>
  <conditionalFormatting sqref="C217:C226">
    <cfRule type="duplicateValues" dxfId="385" priority="1004"/>
  </conditionalFormatting>
  <conditionalFormatting sqref="C227 E227:G227">
    <cfRule type="duplicateValues" dxfId="384" priority="1301"/>
  </conditionalFormatting>
  <conditionalFormatting sqref="C228:C234 E228:G234 E236:G236 C236">
    <cfRule type="duplicateValues" dxfId="383" priority="1303"/>
  </conditionalFormatting>
  <conditionalFormatting sqref="C235 E235:G235 C249 C237:C247 E249:G249 E237:G247">
    <cfRule type="duplicateValues" dxfId="382" priority="1307"/>
  </conditionalFormatting>
  <conditionalFormatting sqref="C248">
    <cfRule type="duplicateValues" dxfId="381" priority="9"/>
  </conditionalFormatting>
  <conditionalFormatting sqref="C250:C253">
    <cfRule type="duplicateValues" dxfId="380" priority="8"/>
  </conditionalFormatting>
  <conditionalFormatting sqref="C254:C256">
    <cfRule type="duplicateValues" dxfId="379" priority="6"/>
  </conditionalFormatting>
  <conditionalFormatting sqref="C257:C259">
    <cfRule type="duplicateValues" dxfId="378" priority="1"/>
  </conditionalFormatting>
  <conditionalFormatting sqref="D161:D162">
    <cfRule type="duplicateValues" dxfId="377" priority="617"/>
    <cfRule type="duplicateValues" dxfId="376" priority="618"/>
    <cfRule type="duplicateValues" dxfId="375" priority="619"/>
    <cfRule type="duplicateValues" dxfId="374" priority="620"/>
    <cfRule type="duplicateValues" dxfId="373" priority="621"/>
    <cfRule type="duplicateValues" dxfId="372" priority="622"/>
  </conditionalFormatting>
  <conditionalFormatting sqref="E150">
    <cfRule type="duplicateValues" dxfId="371" priority="683"/>
    <cfRule type="duplicateValues" dxfId="370" priority="684"/>
    <cfRule type="duplicateValues" dxfId="369" priority="685"/>
    <cfRule type="duplicateValues" dxfId="368" priority="686"/>
    <cfRule type="duplicateValues" dxfId="367" priority="687"/>
    <cfRule type="duplicateValues" dxfId="366" priority="688"/>
    <cfRule type="duplicateValues" dxfId="365" priority="689"/>
    <cfRule type="duplicateValues" dxfId="364" priority="690"/>
  </conditionalFormatting>
  <conditionalFormatting sqref="E158">
    <cfRule type="duplicateValues" dxfId="363" priority="659"/>
    <cfRule type="duplicateValues" dxfId="362" priority="660"/>
    <cfRule type="duplicateValues" dxfId="361" priority="661"/>
    <cfRule type="duplicateValues" dxfId="360" priority="662"/>
    <cfRule type="duplicateValues" dxfId="359" priority="663"/>
    <cfRule type="duplicateValues" dxfId="358" priority="664"/>
    <cfRule type="duplicateValues" dxfId="357" priority="665"/>
    <cfRule type="duplicateValues" dxfId="356" priority="666"/>
  </conditionalFormatting>
  <conditionalFormatting sqref="E159:E160">
    <cfRule type="duplicateValues" dxfId="355" priority="641"/>
    <cfRule type="duplicateValues" dxfId="354" priority="642"/>
    <cfRule type="duplicateValues" dxfId="353" priority="643"/>
    <cfRule type="duplicateValues" dxfId="352" priority="644"/>
    <cfRule type="duplicateValues" dxfId="351" priority="645"/>
    <cfRule type="duplicateValues" dxfId="350" priority="646"/>
  </conditionalFormatting>
  <conditionalFormatting sqref="E161:E162">
    <cfRule type="duplicateValues" dxfId="349" priority="623"/>
    <cfRule type="duplicateValues" dxfId="348" priority="624"/>
    <cfRule type="duplicateValues" dxfId="347" priority="625"/>
    <cfRule type="duplicateValues" dxfId="346" priority="626"/>
    <cfRule type="duplicateValues" dxfId="345" priority="627"/>
    <cfRule type="duplicateValues" dxfId="344" priority="628"/>
  </conditionalFormatting>
  <conditionalFormatting sqref="E163">
    <cfRule type="duplicateValues" dxfId="343" priority="605"/>
    <cfRule type="duplicateValues" dxfId="342" priority="606"/>
    <cfRule type="duplicateValues" dxfId="341" priority="607"/>
    <cfRule type="duplicateValues" dxfId="340" priority="608"/>
    <cfRule type="duplicateValues" dxfId="339" priority="609"/>
    <cfRule type="duplicateValues" dxfId="338" priority="610"/>
  </conditionalFormatting>
  <conditionalFormatting sqref="E164:E165">
    <cfRule type="duplicateValues" dxfId="337" priority="478"/>
    <cfRule type="duplicateValues" dxfId="336" priority="479"/>
    <cfRule type="duplicateValues" dxfId="335" priority="480"/>
    <cfRule type="duplicateValues" dxfId="334" priority="481"/>
    <cfRule type="duplicateValues" dxfId="333" priority="482"/>
    <cfRule type="duplicateValues" dxfId="332" priority="483"/>
  </conditionalFormatting>
  <conditionalFormatting sqref="E166">
    <cfRule type="duplicateValues" dxfId="331" priority="550"/>
    <cfRule type="duplicateValues" dxfId="330" priority="551"/>
    <cfRule type="duplicateValues" dxfId="329" priority="552"/>
    <cfRule type="duplicateValues" dxfId="328" priority="553"/>
    <cfRule type="duplicateValues" dxfId="327" priority="554"/>
    <cfRule type="duplicateValues" dxfId="326" priority="555"/>
  </conditionalFormatting>
  <conditionalFormatting sqref="E167:E169">
    <cfRule type="duplicateValues" dxfId="325" priority="544"/>
    <cfRule type="duplicateValues" dxfId="324" priority="545"/>
    <cfRule type="duplicateValues" dxfId="323" priority="546"/>
    <cfRule type="duplicateValues" dxfId="322" priority="547"/>
    <cfRule type="duplicateValues" dxfId="321" priority="548"/>
    <cfRule type="duplicateValues" dxfId="320" priority="549"/>
  </conditionalFormatting>
  <conditionalFormatting sqref="E170">
    <cfRule type="duplicateValues" dxfId="319" priority="538"/>
    <cfRule type="duplicateValues" dxfId="318" priority="539"/>
    <cfRule type="duplicateValues" dxfId="317" priority="540"/>
    <cfRule type="duplicateValues" dxfId="316" priority="541"/>
    <cfRule type="duplicateValues" dxfId="315" priority="542"/>
    <cfRule type="duplicateValues" dxfId="314" priority="543"/>
  </conditionalFormatting>
  <conditionalFormatting sqref="E171">
    <cfRule type="duplicateValues" dxfId="313" priority="532"/>
    <cfRule type="duplicateValues" dxfId="312" priority="533"/>
    <cfRule type="duplicateValues" dxfId="311" priority="534"/>
    <cfRule type="duplicateValues" dxfId="310" priority="535"/>
    <cfRule type="duplicateValues" dxfId="309" priority="536"/>
    <cfRule type="duplicateValues" dxfId="308" priority="537"/>
  </conditionalFormatting>
  <conditionalFormatting sqref="E172">
    <cfRule type="duplicateValues" dxfId="307" priority="514"/>
    <cfRule type="duplicateValues" dxfId="306" priority="515"/>
    <cfRule type="duplicateValues" dxfId="305" priority="516"/>
    <cfRule type="duplicateValues" dxfId="304" priority="517"/>
    <cfRule type="duplicateValues" dxfId="303" priority="518"/>
    <cfRule type="duplicateValues" dxfId="302" priority="519"/>
  </conditionalFormatting>
  <conditionalFormatting sqref="E173">
    <cfRule type="duplicateValues" dxfId="301" priority="496"/>
    <cfRule type="duplicateValues" dxfId="300" priority="497"/>
    <cfRule type="duplicateValues" dxfId="299" priority="498"/>
    <cfRule type="duplicateValues" dxfId="298" priority="499"/>
    <cfRule type="duplicateValues" dxfId="297" priority="500"/>
    <cfRule type="duplicateValues" dxfId="296" priority="501"/>
  </conditionalFormatting>
  <conditionalFormatting sqref="E174:E175">
    <cfRule type="duplicateValues" dxfId="295" priority="421"/>
    <cfRule type="duplicateValues" dxfId="294" priority="422"/>
    <cfRule type="duplicateValues" dxfId="293" priority="423"/>
    <cfRule type="duplicateValues" dxfId="292" priority="424"/>
    <cfRule type="duplicateValues" dxfId="291" priority="425"/>
    <cfRule type="duplicateValues" dxfId="290" priority="426"/>
  </conditionalFormatting>
  <conditionalFormatting sqref="E175">
    <cfRule type="duplicateValues" dxfId="289" priority="420"/>
  </conditionalFormatting>
  <conditionalFormatting sqref="E176">
    <cfRule type="duplicateValues" dxfId="288" priority="414"/>
    <cfRule type="duplicateValues" dxfId="287" priority="415"/>
    <cfRule type="duplicateValues" dxfId="286" priority="416"/>
    <cfRule type="duplicateValues" dxfId="285" priority="417"/>
    <cfRule type="duplicateValues" dxfId="284" priority="418"/>
    <cfRule type="duplicateValues" dxfId="283" priority="419"/>
  </conditionalFormatting>
  <conditionalFormatting sqref="E177">
    <cfRule type="duplicateValues" dxfId="282" priority="408"/>
    <cfRule type="duplicateValues" dxfId="281" priority="409"/>
    <cfRule type="duplicateValues" dxfId="280" priority="410"/>
    <cfRule type="duplicateValues" dxfId="279" priority="411"/>
    <cfRule type="duplicateValues" dxfId="278" priority="412"/>
    <cfRule type="duplicateValues" dxfId="277" priority="413"/>
  </conditionalFormatting>
  <conditionalFormatting sqref="E178:E199">
    <cfRule type="duplicateValues" dxfId="276" priority="36"/>
    <cfRule type="duplicateValues" dxfId="275" priority="37"/>
    <cfRule type="duplicateValues" dxfId="274" priority="38"/>
    <cfRule type="duplicateValues" dxfId="273" priority="39"/>
    <cfRule type="duplicateValues" dxfId="272" priority="40"/>
    <cfRule type="duplicateValues" dxfId="271" priority="41"/>
  </conditionalFormatting>
  <conditionalFormatting sqref="F64:F107">
    <cfRule type="duplicateValues" dxfId="270" priority="752"/>
  </conditionalFormatting>
  <conditionalFormatting sqref="F108:F142">
    <cfRule type="duplicateValues" dxfId="269" priority="751"/>
  </conditionalFormatting>
  <conditionalFormatting sqref="F149 F151">
    <cfRule type="duplicateValues" dxfId="268" priority="745"/>
    <cfRule type="duplicateValues" dxfId="267" priority="750"/>
  </conditionalFormatting>
  <conditionalFormatting sqref="F149">
    <cfRule type="duplicateValues" dxfId="266" priority="746"/>
    <cfRule type="duplicateValues" dxfId="265" priority="747"/>
    <cfRule type="duplicateValues" dxfId="264" priority="748"/>
    <cfRule type="duplicateValues" dxfId="263" priority="749"/>
  </conditionalFormatting>
  <conditionalFormatting sqref="F150">
    <cfRule type="duplicateValues" dxfId="262" priority="691"/>
    <cfRule type="duplicateValues" dxfId="261" priority="692"/>
    <cfRule type="duplicateValues" dxfId="260" priority="693"/>
    <cfRule type="duplicateValues" dxfId="259" priority="694"/>
    <cfRule type="duplicateValues" dxfId="258" priority="695"/>
    <cfRule type="duplicateValues" dxfId="257" priority="696"/>
    <cfRule type="duplicateValues" dxfId="256" priority="697"/>
    <cfRule type="duplicateValues" dxfId="255" priority="698"/>
  </conditionalFormatting>
  <conditionalFormatting sqref="F151">
    <cfRule type="duplicateValues" dxfId="254" priority="738"/>
    <cfRule type="duplicateValues" dxfId="253" priority="739"/>
    <cfRule type="duplicateValues" dxfId="252" priority="740"/>
    <cfRule type="duplicateValues" dxfId="251" priority="741"/>
    <cfRule type="duplicateValues" dxfId="250" priority="742"/>
    <cfRule type="duplicateValues" dxfId="249" priority="743"/>
    <cfRule type="duplicateValues" dxfId="248" priority="744"/>
  </conditionalFormatting>
  <conditionalFormatting sqref="F152">
    <cfRule type="duplicateValues" dxfId="247" priority="732"/>
    <cfRule type="duplicateValues" dxfId="246" priority="733"/>
    <cfRule type="duplicateValues" dxfId="245" priority="734"/>
  </conditionalFormatting>
  <conditionalFormatting sqref="F152:F155">
    <cfRule type="duplicateValues" dxfId="244" priority="731"/>
    <cfRule type="duplicateValues" dxfId="243" priority="736"/>
  </conditionalFormatting>
  <conditionalFormatting sqref="F153:F154">
    <cfRule type="duplicateValues" dxfId="242" priority="724"/>
    <cfRule type="duplicateValues" dxfId="241" priority="725"/>
    <cfRule type="duplicateValues" dxfId="240" priority="726"/>
    <cfRule type="duplicateValues" dxfId="239" priority="727"/>
    <cfRule type="duplicateValues" dxfId="238" priority="728"/>
    <cfRule type="duplicateValues" dxfId="237" priority="729"/>
    <cfRule type="duplicateValues" dxfId="236" priority="730"/>
  </conditionalFormatting>
  <conditionalFormatting sqref="F155 F152">
    <cfRule type="duplicateValues" dxfId="235" priority="735"/>
  </conditionalFormatting>
  <conditionalFormatting sqref="F155">
    <cfRule type="duplicateValues" dxfId="234" priority="720"/>
    <cfRule type="duplicateValues" dxfId="233" priority="721"/>
    <cfRule type="duplicateValues" dxfId="232" priority="722"/>
    <cfRule type="duplicateValues" dxfId="231" priority="723"/>
  </conditionalFormatting>
  <conditionalFormatting sqref="F156">
    <cfRule type="duplicateValues" dxfId="230" priority="714"/>
    <cfRule type="duplicateValues" dxfId="229" priority="715"/>
    <cfRule type="duplicateValues" dxfId="228" priority="716"/>
    <cfRule type="duplicateValues" dxfId="227" priority="717"/>
  </conditionalFormatting>
  <conditionalFormatting sqref="F156:F157">
    <cfRule type="duplicateValues" dxfId="226" priority="713"/>
    <cfRule type="duplicateValues" dxfId="225" priority="718"/>
  </conditionalFormatting>
  <conditionalFormatting sqref="F157">
    <cfRule type="duplicateValues" dxfId="224" priority="708"/>
    <cfRule type="duplicateValues" dxfId="223" priority="709"/>
    <cfRule type="duplicateValues" dxfId="222" priority="710"/>
    <cfRule type="duplicateValues" dxfId="221" priority="711"/>
    <cfRule type="duplicateValues" dxfId="220" priority="712"/>
  </conditionalFormatting>
  <conditionalFormatting sqref="F158">
    <cfRule type="duplicateValues" dxfId="219" priority="667"/>
    <cfRule type="duplicateValues" dxfId="218" priority="668"/>
    <cfRule type="duplicateValues" dxfId="217" priority="669"/>
    <cfRule type="duplicateValues" dxfId="216" priority="670"/>
    <cfRule type="duplicateValues" dxfId="215" priority="671"/>
    <cfRule type="duplicateValues" dxfId="214" priority="672"/>
    <cfRule type="duplicateValues" dxfId="213" priority="673"/>
    <cfRule type="duplicateValues" dxfId="212" priority="674"/>
  </conditionalFormatting>
  <conditionalFormatting sqref="F159:F160">
    <cfRule type="duplicateValues" dxfId="211" priority="647"/>
    <cfRule type="duplicateValues" dxfId="210" priority="648"/>
    <cfRule type="duplicateValues" dxfId="209" priority="649"/>
    <cfRule type="duplicateValues" dxfId="208" priority="650"/>
    <cfRule type="duplicateValues" dxfId="207" priority="651"/>
    <cfRule type="duplicateValues" dxfId="206" priority="652"/>
  </conditionalFormatting>
  <conditionalFormatting sqref="F161:F162">
    <cfRule type="duplicateValues" dxfId="205" priority="629"/>
    <cfRule type="duplicateValues" dxfId="204" priority="630"/>
    <cfRule type="duplicateValues" dxfId="203" priority="631"/>
    <cfRule type="duplicateValues" dxfId="202" priority="632"/>
    <cfRule type="duplicateValues" dxfId="201" priority="633"/>
    <cfRule type="duplicateValues" dxfId="200" priority="634"/>
  </conditionalFormatting>
  <conditionalFormatting sqref="F163">
    <cfRule type="duplicateValues" dxfId="199" priority="611"/>
    <cfRule type="duplicateValues" dxfId="198" priority="612"/>
    <cfRule type="duplicateValues" dxfId="197" priority="613"/>
    <cfRule type="duplicateValues" dxfId="196" priority="614"/>
    <cfRule type="duplicateValues" dxfId="195" priority="615"/>
    <cfRule type="duplicateValues" dxfId="194" priority="616"/>
  </conditionalFormatting>
  <conditionalFormatting sqref="F164:F165">
    <cfRule type="duplicateValues" dxfId="193" priority="490"/>
    <cfRule type="duplicateValues" dxfId="192" priority="491"/>
    <cfRule type="duplicateValues" dxfId="191" priority="492"/>
    <cfRule type="duplicateValues" dxfId="190" priority="493"/>
    <cfRule type="duplicateValues" dxfId="189" priority="494"/>
    <cfRule type="duplicateValues" dxfId="188" priority="495"/>
  </conditionalFormatting>
  <conditionalFormatting sqref="F166">
    <cfRule type="duplicateValues" dxfId="187" priority="574"/>
    <cfRule type="duplicateValues" dxfId="186" priority="575"/>
    <cfRule type="duplicateValues" dxfId="185" priority="576"/>
    <cfRule type="duplicateValues" dxfId="184" priority="577"/>
    <cfRule type="duplicateValues" dxfId="183" priority="578"/>
    <cfRule type="duplicateValues" dxfId="182" priority="579"/>
    <cfRule type="duplicateValues" dxfId="181" priority="580"/>
  </conditionalFormatting>
  <conditionalFormatting sqref="F167:F169">
    <cfRule type="duplicateValues" dxfId="180" priority="568"/>
    <cfRule type="duplicateValues" dxfId="179" priority="569"/>
    <cfRule type="duplicateValues" dxfId="178" priority="570"/>
    <cfRule type="duplicateValues" dxfId="177" priority="571"/>
    <cfRule type="duplicateValues" dxfId="176" priority="572"/>
    <cfRule type="duplicateValues" dxfId="175" priority="573"/>
  </conditionalFormatting>
  <conditionalFormatting sqref="F170">
    <cfRule type="duplicateValues" dxfId="174" priority="562"/>
    <cfRule type="duplicateValues" dxfId="173" priority="563"/>
    <cfRule type="duplicateValues" dxfId="172" priority="564"/>
    <cfRule type="duplicateValues" dxfId="171" priority="565"/>
    <cfRule type="duplicateValues" dxfId="170" priority="566"/>
    <cfRule type="duplicateValues" dxfId="169" priority="567"/>
  </conditionalFormatting>
  <conditionalFormatting sqref="F171">
    <cfRule type="duplicateValues" dxfId="168" priority="556"/>
    <cfRule type="duplicateValues" dxfId="167" priority="557"/>
    <cfRule type="duplicateValues" dxfId="166" priority="558"/>
    <cfRule type="duplicateValues" dxfId="165" priority="559"/>
    <cfRule type="duplicateValues" dxfId="164" priority="560"/>
    <cfRule type="duplicateValues" dxfId="163" priority="561"/>
  </conditionalFormatting>
  <conditionalFormatting sqref="F172">
    <cfRule type="duplicateValues" dxfId="162" priority="520"/>
    <cfRule type="duplicateValues" dxfId="161" priority="521"/>
    <cfRule type="duplicateValues" dxfId="160" priority="522"/>
    <cfRule type="duplicateValues" dxfId="159" priority="523"/>
    <cfRule type="duplicateValues" dxfId="158" priority="524"/>
    <cfRule type="duplicateValues" dxfId="157" priority="525"/>
  </conditionalFormatting>
  <conditionalFormatting sqref="F173">
    <cfRule type="duplicateValues" dxfId="156" priority="502"/>
    <cfRule type="duplicateValues" dxfId="155" priority="503"/>
    <cfRule type="duplicateValues" dxfId="154" priority="504"/>
    <cfRule type="duplicateValues" dxfId="153" priority="505"/>
    <cfRule type="duplicateValues" dxfId="152" priority="506"/>
    <cfRule type="duplicateValues" dxfId="151" priority="507"/>
  </conditionalFormatting>
  <conditionalFormatting sqref="F174:F175">
    <cfRule type="duplicateValues" dxfId="150" priority="471"/>
    <cfRule type="duplicateValues" dxfId="149" priority="472"/>
    <cfRule type="duplicateValues" dxfId="148" priority="473"/>
    <cfRule type="duplicateValues" dxfId="147" priority="474"/>
    <cfRule type="duplicateValues" dxfId="146" priority="475"/>
    <cfRule type="duplicateValues" dxfId="145" priority="476"/>
    <cfRule type="duplicateValues" dxfId="144" priority="477"/>
  </conditionalFormatting>
  <conditionalFormatting sqref="F175">
    <cfRule type="duplicateValues" dxfId="143" priority="470"/>
  </conditionalFormatting>
  <conditionalFormatting sqref="F176">
    <cfRule type="duplicateValues" dxfId="142" priority="464"/>
    <cfRule type="duplicateValues" dxfId="141" priority="465"/>
    <cfRule type="duplicateValues" dxfId="140" priority="466"/>
    <cfRule type="duplicateValues" dxfId="139" priority="467"/>
    <cfRule type="duplicateValues" dxfId="138" priority="468"/>
    <cfRule type="duplicateValues" dxfId="137" priority="469"/>
  </conditionalFormatting>
  <conditionalFormatting sqref="F177">
    <cfRule type="duplicateValues" dxfId="136" priority="458"/>
    <cfRule type="duplicateValues" dxfId="135" priority="459"/>
    <cfRule type="duplicateValues" dxfId="134" priority="460"/>
    <cfRule type="duplicateValues" dxfId="133" priority="461"/>
    <cfRule type="duplicateValues" dxfId="132" priority="462"/>
    <cfRule type="duplicateValues" dxfId="131" priority="463"/>
  </conditionalFormatting>
  <conditionalFormatting sqref="F178:F199">
    <cfRule type="duplicateValues" dxfId="130" priority="48"/>
    <cfRule type="duplicateValues" dxfId="129" priority="49"/>
    <cfRule type="duplicateValues" dxfId="128" priority="50"/>
    <cfRule type="duplicateValues" dxfId="127" priority="51"/>
    <cfRule type="duplicateValues" dxfId="126" priority="52"/>
    <cfRule type="duplicateValues" dxfId="125" priority="53"/>
  </conditionalFormatting>
  <conditionalFormatting sqref="F215 F205:F213 G214">
    <cfRule type="duplicateValues" dxfId="124" priority="1313"/>
  </conditionalFormatting>
  <conditionalFormatting sqref="F235 F249 F237:F247">
    <cfRule type="duplicateValues" dxfId="123" priority="1132"/>
  </conditionalFormatting>
  <conditionalFormatting sqref="F250:F255 F143:F147 F200:F204 F217:F226 F257:F1048576 F1:F63">
    <cfRule type="duplicateValues" dxfId="122" priority="761"/>
  </conditionalFormatting>
  <conditionalFormatting sqref="F250:F255 F217:F226 F257:F1048576 F1:F204">
    <cfRule type="duplicateValues" dxfId="121" priority="34"/>
  </conditionalFormatting>
  <conditionalFormatting sqref="F250:F255 F236 F257:F1048576 F1:F234">
    <cfRule type="duplicateValues" dxfId="120" priority="18"/>
  </conditionalFormatting>
  <conditionalFormatting sqref="F256">
    <cfRule type="duplicateValues" dxfId="119" priority="2"/>
    <cfRule type="duplicateValues" dxfId="118" priority="4"/>
    <cfRule type="duplicateValues" dxfId="117" priority="5"/>
  </conditionalFormatting>
  <conditionalFormatting sqref="G91">
    <cfRule type="duplicateValues" dxfId="116" priority="1316"/>
  </conditionalFormatting>
  <conditionalFormatting sqref="G93">
    <cfRule type="duplicateValues" dxfId="115" priority="1317"/>
  </conditionalFormatting>
  <conditionalFormatting sqref="G95">
    <cfRule type="duplicateValues" dxfId="114" priority="1318"/>
  </conditionalFormatting>
  <conditionalFormatting sqref="G100">
    <cfRule type="duplicateValues" dxfId="113" priority="1319"/>
  </conditionalFormatting>
  <conditionalFormatting sqref="G103">
    <cfRule type="duplicateValues" dxfId="112" priority="1320"/>
  </conditionalFormatting>
  <conditionalFormatting sqref="G104">
    <cfRule type="duplicateValues" dxfId="111" priority="1321"/>
  </conditionalFormatting>
  <conditionalFormatting sqref="G105:G106">
    <cfRule type="duplicateValues" dxfId="110" priority="1322"/>
  </conditionalFormatting>
  <conditionalFormatting sqref="G107">
    <cfRule type="duplicateValues" dxfId="109" priority="1323"/>
  </conditionalFormatting>
  <conditionalFormatting sqref="G150">
    <cfRule type="duplicateValues" dxfId="108" priority="1324"/>
    <cfRule type="duplicateValues" dxfId="107" priority="1325"/>
    <cfRule type="duplicateValues" dxfId="106" priority="1326"/>
    <cfRule type="duplicateValues" dxfId="105" priority="1327"/>
    <cfRule type="duplicateValues" dxfId="104" priority="1328"/>
    <cfRule type="duplicateValues" dxfId="103" priority="1329"/>
    <cfRule type="duplicateValues" dxfId="102" priority="1330"/>
    <cfRule type="duplicateValues" dxfId="101" priority="1331"/>
  </conditionalFormatting>
  <conditionalFormatting sqref="G151">
    <cfRule type="duplicateValues" dxfId="100" priority="1332"/>
  </conditionalFormatting>
  <conditionalFormatting sqref="G153:G154">
    <cfRule type="duplicateValues" dxfId="99" priority="1333"/>
  </conditionalFormatting>
  <conditionalFormatting sqref="G157">
    <cfRule type="duplicateValues" dxfId="98" priority="1334"/>
  </conditionalFormatting>
  <conditionalFormatting sqref="G158">
    <cfRule type="duplicateValues" dxfId="97" priority="1335"/>
    <cfRule type="duplicateValues" dxfId="96" priority="1336"/>
    <cfRule type="duplicateValues" dxfId="95" priority="1337"/>
    <cfRule type="duplicateValues" dxfId="94" priority="1338"/>
    <cfRule type="duplicateValues" dxfId="93" priority="1339"/>
    <cfRule type="duplicateValues" dxfId="92" priority="1340"/>
    <cfRule type="duplicateValues" dxfId="91" priority="1341"/>
    <cfRule type="duplicateValues" dxfId="90" priority="1342"/>
  </conditionalFormatting>
  <conditionalFormatting sqref="G159:G160">
    <cfRule type="duplicateValues" dxfId="89" priority="1343"/>
    <cfRule type="duplicateValues" dxfId="88" priority="1344"/>
    <cfRule type="duplicateValues" dxfId="87" priority="1345"/>
    <cfRule type="duplicateValues" dxfId="86" priority="1346"/>
    <cfRule type="duplicateValues" dxfId="85" priority="1347"/>
    <cfRule type="duplicateValues" dxfId="84" priority="1348"/>
  </conditionalFormatting>
  <conditionalFormatting sqref="G161:G162">
    <cfRule type="duplicateValues" dxfId="83" priority="1349"/>
    <cfRule type="duplicateValues" dxfId="82" priority="1350"/>
    <cfRule type="duplicateValues" dxfId="81" priority="1351"/>
    <cfRule type="duplicateValues" dxfId="80" priority="1352"/>
    <cfRule type="duplicateValues" dxfId="79" priority="1353"/>
    <cfRule type="duplicateValues" dxfId="78" priority="1354"/>
  </conditionalFormatting>
  <conditionalFormatting sqref="G164:G165">
    <cfRule type="duplicateValues" dxfId="77" priority="1355"/>
    <cfRule type="duplicateValues" dxfId="76" priority="1356"/>
    <cfRule type="duplicateValues" dxfId="75" priority="1357"/>
    <cfRule type="duplicateValues" dxfId="74" priority="1358"/>
    <cfRule type="duplicateValues" dxfId="73" priority="1359"/>
    <cfRule type="duplicateValues" dxfId="72" priority="1360"/>
  </conditionalFormatting>
  <conditionalFormatting sqref="G166">
    <cfRule type="duplicateValues" dxfId="71" priority="1361"/>
    <cfRule type="duplicateValues" dxfId="70" priority="1362"/>
    <cfRule type="duplicateValues" dxfId="69" priority="1363"/>
    <cfRule type="duplicateValues" dxfId="68" priority="1364"/>
    <cfRule type="duplicateValues" dxfId="67" priority="1365"/>
    <cfRule type="duplicateValues" dxfId="66" priority="1366"/>
  </conditionalFormatting>
  <conditionalFormatting sqref="G167:G169">
    <cfRule type="duplicateValues" dxfId="65" priority="1367"/>
    <cfRule type="duplicateValues" dxfId="64" priority="1368"/>
    <cfRule type="duplicateValues" dxfId="63" priority="1369"/>
    <cfRule type="duplicateValues" dxfId="62" priority="1370"/>
    <cfRule type="duplicateValues" dxfId="61" priority="1371"/>
    <cfRule type="duplicateValues" dxfId="60" priority="1372"/>
  </conditionalFormatting>
  <conditionalFormatting sqref="G170">
    <cfRule type="duplicateValues" dxfId="59" priority="1373"/>
    <cfRule type="duplicateValues" dxfId="58" priority="1374"/>
    <cfRule type="duplicateValues" dxfId="57" priority="1375"/>
    <cfRule type="duplicateValues" dxfId="56" priority="1376"/>
    <cfRule type="duplicateValues" dxfId="55" priority="1377"/>
    <cfRule type="duplicateValues" dxfId="54" priority="1378"/>
  </conditionalFormatting>
  <conditionalFormatting sqref="G171">
    <cfRule type="duplicateValues" dxfId="53" priority="1379"/>
    <cfRule type="duplicateValues" dxfId="52" priority="1380"/>
    <cfRule type="duplicateValues" dxfId="51" priority="1381"/>
    <cfRule type="duplicateValues" dxfId="50" priority="1382"/>
    <cfRule type="duplicateValues" dxfId="49" priority="1383"/>
    <cfRule type="duplicateValues" dxfId="48" priority="1384"/>
  </conditionalFormatting>
  <conditionalFormatting sqref="G172">
    <cfRule type="duplicateValues" dxfId="47" priority="1385"/>
    <cfRule type="duplicateValues" dxfId="46" priority="1386"/>
    <cfRule type="duplicateValues" dxfId="45" priority="1387"/>
    <cfRule type="duplicateValues" dxfId="44" priority="1388"/>
    <cfRule type="duplicateValues" dxfId="43" priority="1389"/>
    <cfRule type="duplicateValues" dxfId="42" priority="1390"/>
  </conditionalFormatting>
  <conditionalFormatting sqref="G173">
    <cfRule type="duplicateValues" dxfId="41" priority="1391"/>
    <cfRule type="duplicateValues" dxfId="40" priority="1392"/>
    <cfRule type="duplicateValues" dxfId="39" priority="1393"/>
    <cfRule type="duplicateValues" dxfId="38" priority="1394"/>
    <cfRule type="duplicateValues" dxfId="37" priority="1395"/>
    <cfRule type="duplicateValues" dxfId="36" priority="1396"/>
  </conditionalFormatting>
  <conditionalFormatting sqref="G174:G175">
    <cfRule type="duplicateValues" dxfId="35" priority="1397"/>
    <cfRule type="duplicateValues" dxfId="34" priority="1398"/>
    <cfRule type="duplicateValues" dxfId="33" priority="1399"/>
    <cfRule type="duplicateValues" dxfId="32" priority="1400"/>
    <cfRule type="duplicateValues" dxfId="31" priority="1401"/>
    <cfRule type="duplicateValues" dxfId="30" priority="1402"/>
  </conditionalFormatting>
  <conditionalFormatting sqref="G175">
    <cfRule type="duplicateValues" dxfId="29" priority="1403"/>
  </conditionalFormatting>
  <conditionalFormatting sqref="G176">
    <cfRule type="duplicateValues" dxfId="28" priority="1404"/>
    <cfRule type="duplicateValues" dxfId="27" priority="1405"/>
    <cfRule type="duplicateValues" dxfId="26" priority="1406"/>
    <cfRule type="duplicateValues" dxfId="25" priority="1407"/>
    <cfRule type="duplicateValues" dxfId="24" priority="1408"/>
    <cfRule type="duplicateValues" dxfId="23" priority="1409"/>
  </conditionalFormatting>
  <conditionalFormatting sqref="G177">
    <cfRule type="duplicateValues" dxfId="22" priority="1410"/>
    <cfRule type="duplicateValues" dxfId="21" priority="1411"/>
    <cfRule type="duplicateValues" dxfId="20" priority="1412"/>
    <cfRule type="duplicateValues" dxfId="19" priority="1413"/>
    <cfRule type="duplicateValues" dxfId="18" priority="1414"/>
    <cfRule type="duplicateValues" dxfId="17" priority="1415"/>
  </conditionalFormatting>
  <conditionalFormatting sqref="G178:G199">
    <cfRule type="duplicateValues" dxfId="16" priority="1416"/>
    <cfRule type="duplicateValues" dxfId="15" priority="1417"/>
    <cfRule type="duplicateValues" dxfId="14" priority="1418"/>
    <cfRule type="duplicateValues" dxfId="13" priority="1419"/>
    <cfRule type="duplicateValues" dxfId="12" priority="1420"/>
    <cfRule type="duplicateValues" dxfId="11" priority="1421"/>
  </conditionalFormatting>
  <conditionalFormatting sqref="G200">
    <cfRule type="duplicateValues" dxfId="10" priority="1422"/>
  </conditionalFormatting>
  <conditionalFormatting sqref="G205:G213">
    <cfRule type="duplicateValues" dxfId="9" priority="1423"/>
  </conditionalFormatting>
  <conditionalFormatting sqref="G250:G255 G217:G226 G257:G1048576 G1:G204">
    <cfRule type="duplicateValues" dxfId="8" priority="1424"/>
  </conditionalFormatting>
  <conditionalFormatting sqref="G256">
    <cfRule type="duplicateValues" dxfId="7" priority="3"/>
  </conditionalFormatting>
  <conditionalFormatting sqref="H244">
    <cfRule type="duplicateValues" dxfId="6" priority="10"/>
  </conditionalFormatting>
  <conditionalFormatting sqref="I216 L216:M216 N215 C216:G216 O216:XFD216">
    <cfRule type="duplicateValues" dxfId="5" priority="29"/>
  </conditionalFormatting>
  <conditionalFormatting sqref="N216:N226">
    <cfRule type="duplicateValues" dxfId="4" priority="1006"/>
  </conditionalFormatting>
  <conditionalFormatting sqref="N227:N229">
    <cfRule type="duplicateValues" dxfId="3" priority="20"/>
  </conditionalFormatting>
  <conditionalFormatting sqref="N233:N235">
    <cfRule type="duplicateValues" dxfId="2" priority="19"/>
  </conditionalFormatting>
  <conditionalFormatting sqref="N249 N236:N246">
    <cfRule type="duplicateValues" dxfId="1" priority="1129"/>
  </conditionalFormatting>
  <conditionalFormatting sqref="N250:N253">
    <cfRule type="duplicateValues" dxfId="0" priority="7"/>
  </conditionalFormatting>
  <dataValidations count="3">
    <dataValidation type="list" allowBlank="1" showInputMessage="1" showErrorMessage="1" sqref="M7:M11" xr:uid="{00000000-0002-0000-0000-000000000000}">
      <formula1>$XEY$1:$XEY$11</formula1>
    </dataValidation>
    <dataValidation type="list" allowBlank="1" showInputMessage="1" showErrorMessage="1" sqref="P52:P142" xr:uid="{00000000-0002-0000-0000-000001000000}">
      <formula1>$XEZ$1:$XEZ$11</formula1>
    </dataValidation>
    <dataValidation type="list" allowBlank="1" showInputMessage="1" showErrorMessage="1" sqref="N15 N9:N12 N88 N41 N44:N45" xr:uid="{00000000-0002-0000-0000-000002000000}">
      <formula1>$XFA$1:$XFD$11</formula1>
    </dataValidation>
  </dataValidation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</vt:lpstr>
      <vt:lpstr>Monthly Performance</vt:lpstr>
      <vt:lpstr>Weekly Performance</vt:lpstr>
      <vt:lpstr>Real Prospect</vt:lpstr>
      <vt:lpstr>DSR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 Singh</dc:creator>
  <cp:lastModifiedBy>sumit kumar</cp:lastModifiedBy>
  <dcterms:created xsi:type="dcterms:W3CDTF">2025-06-12T16:07:34Z</dcterms:created>
  <dcterms:modified xsi:type="dcterms:W3CDTF">2025-12-03T08:13:32Z</dcterms:modified>
</cp:coreProperties>
</file>